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'Mjølk'!C59*IF(Oversikt!$B$16="J",1,0)</f>
        <v/>
      </c>
      <c r="D25" s="12" t="inlineStr">
        <is>
          <t>stk</t>
        </is>
      </c>
      <c r="E25" s="23" t="inlineStr">
        <is>
          <t>Kueiningar – Mjølk = «Kueiningar» [Mjølk!C59] × Med i totalen Mjølk [Oversikt!B16 → 1/0]</t>
        </is>
      </c>
      <c r="F25" s="24" t="inlineStr">
        <is>
          <t>='Mjølk'!C59*IF(Oversikt!$B$16="J",1,0)</t>
        </is>
      </c>
    </row>
    <row r="26">
      <c r="A26" s="20" t="inlineStr">
        <is>
          <t>Kueiningar – Oksar</t>
        </is>
      </c>
      <c r="B26" s="21" t="inlineStr">
        <is>
          <t>Utrekna</t>
        </is>
      </c>
      <c r="C26" s="38">
        <f>Oksar!C56*IF(Oversikt!$B$17="J",1,0)</f>
        <v/>
      </c>
      <c r="D26" s="12" t="inlineStr">
        <is>
          <t>stk</t>
        </is>
      </c>
      <c r="E26" s="23" t="inlineStr">
        <is>
          <t>Kueiningar – Oksar = «Kueiningar» [Oksar!C56] × Med i totalen Oksar [Oversikt!B17 → 1/0]</t>
        </is>
      </c>
      <c r="F26" s="24" t="inlineStr">
        <is>
          <t>=Oksar!C56*IF(Oversikt!$B$17="J",1,0)</t>
        </is>
      </c>
    </row>
    <row r="27">
      <c r="A27" s="20" t="inlineStr">
        <is>
          <t>Kueiningar – Mellomkalv</t>
        </is>
      </c>
      <c r="B27" s="21" t="inlineStr">
        <is>
          <t>Utrekna</t>
        </is>
      </c>
      <c r="C27" s="38">
        <f>Mellomkalv!C56*IF(Oversikt!$B$18="J",1,0)</f>
        <v/>
      </c>
      <c r="D27" s="12" t="inlineStr">
        <is>
          <t>stk</t>
        </is>
      </c>
      <c r="E27" s="23" t="inlineStr">
        <is>
          <t>Kueiningar – Mellomkalv = «Kueiningar» [Mellomkalv!C56] × Med i totalen Mellomkalv [Oversikt!B18 → 1/0]</t>
        </is>
      </c>
      <c r="F27" s="24" t="inlineStr">
        <is>
          <t>=Mellomkalv!C56*IF(Oversikt!$B$18="J",1,0)</t>
        </is>
      </c>
    </row>
    <row r="28">
      <c r="A28" s="20" t="inlineStr">
        <is>
          <t>Kueiningar – Ammekyr</t>
        </is>
      </c>
      <c r="B28" s="21" t="inlineStr">
        <is>
          <t>Utrekna</t>
        </is>
      </c>
      <c r="C28" s="38">
        <f>Ammekyr!C61*IF(Oversikt!$B$19="J",1,0)</f>
        <v/>
      </c>
      <c r="D28" s="12" t="inlineStr">
        <is>
          <t>stk</t>
        </is>
      </c>
      <c r="E28" s="23" t="inlineStr">
        <is>
          <t>Kueiningar – Ammekyr = «Kueiningar» [Ammekyr!C61] × Med i totalen Ammekyr [Oversikt!B19 → 1/0]</t>
        </is>
      </c>
      <c r="F28" s="24" t="inlineStr">
        <is>
          <t>=Ammekyr!C61*IF(Oversikt!$B$19="J",1,0)</t>
        </is>
      </c>
    </row>
    <row r="29">
      <c r="A29" s="20" t="inlineStr">
        <is>
          <t>Kueiningar – Sau</t>
        </is>
      </c>
      <c r="B29" s="21" t="inlineStr">
        <is>
          <t>Utrekna</t>
        </is>
      </c>
      <c r="C29" s="38">
        <f>Sau!C67*IF(Oversikt!$B$23="J",1,0)</f>
        <v/>
      </c>
      <c r="D29" s="12" t="inlineStr">
        <is>
          <t>stk</t>
        </is>
      </c>
      <c r="E29" s="23" t="inlineStr">
        <is>
          <t>Kueiningar – Sau = «Kueiningar» [Sau!C67] × Med i totalen Sau [Oversikt!B23 → 1/0]</t>
        </is>
      </c>
      <c r="F29" s="24" t="inlineStr">
        <is>
          <t>=Sau!C67*IF(Oversikt!$B$23="J",1,0)</t>
        </is>
      </c>
    </row>
    <row r="30">
      <c r="A30" s="20" t="inlineStr">
        <is>
          <t>Kueiningar – Geit</t>
        </is>
      </c>
      <c r="B30" s="21" t="inlineStr">
        <is>
          <t>Utrekna</t>
        </is>
      </c>
      <c r="C30" s="38">
        <f>Geit!C55*IF(Oversikt!$B$24="J",1,0)</f>
        <v/>
      </c>
      <c r="D30" s="12" t="inlineStr">
        <is>
          <t>stk</t>
        </is>
      </c>
      <c r="E30" s="23" t="inlineStr">
        <is>
          <t>Kueiningar – Geit = «Kueiningar» [Geit!C55] × Med i totalen Geit [Oversikt!B24 → 1/0]</t>
        </is>
      </c>
      <c r="F30" s="24" t="inlineStr">
        <is>
          <t>=Geit!C55*IF(Oversikt!$B$24="J",1,0)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'Mjølk'!C53*IF(Oversikt!$B$16="J",1,0)</f>
        <v/>
      </c>
      <c r="D32" s="12" t="inlineStr">
        <is>
          <t>kr</t>
        </is>
      </c>
      <c r="E32" s="23" t="inlineStr">
        <is>
          <t>Eigen grovfôrkostnad – Mjølk = Sum eigen grovfôrproduksjon (utan lagerendring) [Mjølk!C53] × Med i totalen Mjølk [Oversikt!B16 → 1/0]</t>
        </is>
      </c>
      <c r="F32" s="24" t="inlineStr">
        <is>
          <t>='Mjølk'!C53*IF(Oversikt!$B$16="J",1,0)</t>
        </is>
      </c>
    </row>
    <row r="33">
      <c r="A33" s="20" t="inlineStr">
        <is>
          <t>Eigen grovfôrkostnad – Oksar</t>
        </is>
      </c>
      <c r="B33" s="21" t="inlineStr">
        <is>
          <t>Utrekna</t>
        </is>
      </c>
      <c r="C33" s="22">
        <f>Oksar!C50*IF(Oversikt!$B$17="J",1,0)</f>
        <v/>
      </c>
      <c r="D33" s="12" t="inlineStr">
        <is>
          <t>kr</t>
        </is>
      </c>
      <c r="E33" s="23" t="inlineStr">
        <is>
          <t>Eigen grovfôrkostnad – Oksar = Sum eigen grovfôrproduksjon (utan lagerendring) [Oksar!C50] × Med i totalen Oksar [Oversikt!B17 → 1/0]</t>
        </is>
      </c>
      <c r="F33" s="24" t="inlineStr">
        <is>
          <t>=Oksar!C50*IF(Oversikt!$B$17="J",1,0)</t>
        </is>
      </c>
    </row>
    <row r="34">
      <c r="A34" s="20" t="inlineStr">
        <is>
          <t>Eigen grovfôrkostnad – Mellomkalv</t>
        </is>
      </c>
      <c r="B34" s="21" t="inlineStr">
        <is>
          <t>Utrekna</t>
        </is>
      </c>
      <c r="C34" s="22">
        <f>Mellomkalv!C50*IF(Oversikt!$B$18="J",1,0)</f>
        <v/>
      </c>
      <c r="D34" s="12" t="inlineStr">
        <is>
          <t>kr</t>
        </is>
      </c>
      <c r="E34" s="23" t="inlineStr">
        <is>
          <t>Eigen grovfôrkostnad – Mellomkalv = Sum eigen grovfôrproduksjon (utan lagerendring) [Mellomkalv!C50] × Med i totalen Mellomkalv [Oversikt!B18 → 1/0]</t>
        </is>
      </c>
      <c r="F34" s="24" t="inlineStr">
        <is>
          <t>=Mellomkalv!C50*IF(Oversikt!$B$18="J",1,0)</t>
        </is>
      </c>
    </row>
    <row r="35">
      <c r="A35" s="20" t="inlineStr">
        <is>
          <t>Eigen grovfôrkostnad – Ammekyr</t>
        </is>
      </c>
      <c r="B35" s="21" t="inlineStr">
        <is>
          <t>Utrekna</t>
        </is>
      </c>
      <c r="C35" s="22">
        <f>Ammekyr!C55*IF(Oversikt!$B$19="J",1,0)</f>
        <v/>
      </c>
      <c r="D35" s="12" t="inlineStr">
        <is>
          <t>kr</t>
        </is>
      </c>
      <c r="E35" s="23" t="inlineStr">
        <is>
          <t>Eigen grovfôrkostnad – Ammekyr = Sum eigen grovfôrproduksjon (utan lagerendring) [Ammekyr!C55] × Med i totalen Ammekyr [Oversikt!B19 → 1/0]</t>
        </is>
      </c>
      <c r="F35" s="24" t="inlineStr">
        <is>
          <t>=Ammekyr!C55*IF(Oversikt!$B$19="J",1,0)</t>
        </is>
      </c>
    </row>
    <row r="36">
      <c r="A36" s="20" t="inlineStr">
        <is>
          <t>Eigen grovfôrkostnad – Sau</t>
        </is>
      </c>
      <c r="B36" s="21" t="inlineStr">
        <is>
          <t>Utrekna</t>
        </is>
      </c>
      <c r="C36" s="22">
        <f>Sau!C61*IF(Oversikt!$B$23="J",1,0)</f>
        <v/>
      </c>
      <c r="D36" s="12" t="inlineStr">
        <is>
          <t>kr</t>
        </is>
      </c>
      <c r="E36" s="23" t="inlineStr">
        <is>
          <t>Eigen grovfôrkostnad – Sau = Sum eigen grovfôrproduksjon (utan lagerendring) [Sau!C61] × Med i totalen Sau [Oversikt!B23 → 1/0]</t>
        </is>
      </c>
      <c r="F36" s="24" t="inlineStr">
        <is>
          <t>=Sau!C61*IF(Oversikt!$B$23="J",1,0)</t>
        </is>
      </c>
    </row>
    <row r="37">
      <c r="A37" s="20" t="inlineStr">
        <is>
          <t>Eigen grovfôrkostnad – Geit</t>
        </is>
      </c>
      <c r="B37" s="21" t="inlineStr">
        <is>
          <t>Utrekna</t>
        </is>
      </c>
      <c r="C37" s="22">
        <f>Geit!C49*IF(Oversikt!$B$24="J",1,0)</f>
        <v/>
      </c>
      <c r="D37" s="12" t="inlineStr">
        <is>
          <t>kr</t>
        </is>
      </c>
      <c r="E37" s="23" t="inlineStr">
        <is>
          <t>Eigen grovfôrkostnad – Geit = Sum eigen grovfôrproduksjon (utan lagerendring) [Geit!C49] × Med i totalen Geit [Oversikt!B24 → 1/0]</t>
        </is>
      </c>
      <c r="F37" s="24" t="inlineStr">
        <is>
          <t>=Geit!C49*IF(Oversikt!$B$24="J",1,0)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'Mjølk'!C52*IF(Oversikt!$B$16="J",1,0)+Oksar!C49*IF(Oversikt!$B$17="J",1,0)+Mellomkalv!C49*IF(Oversikt!$B$18="J",1,0)+Ammekyr!C54*IF(Oversikt!$B$19="J",1,0)+Sau!C60*IF(Oversikt!$B$23="J",1,0)+Geit!C48*IF(Oversikt!$B$24="J",1,0)</f>
        <v/>
      </c>
      <c r="D39" s="12" t="inlineStr">
        <is>
          <t>kr</t>
        </is>
      </c>
      <c r="E39"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39" s="24" t="inlineStr">
        <is>
          <t>='Mjølk'!C52*IF(Oversikt!$B$16="J",1,0)+Oksar!C49*IF(Oversikt!$B$17="J",1,0)+Mellomkalv!C49*IF(Oversikt!$B$18="J",1,0)+Ammekyr!C54*IF(Oversikt!$B$19="J",1,0)+Sau!C60*IF(Oversikt!$B$23="J",1,0)+Geit!C48*IF(Oversikt!$B$24="J",1,0)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'Mjølk'!C56*IF(Oversikt!$B$16="J",1,0)+Oksar!C53*IF(Oversikt!$B$17="J",1,0)+Mellomkalv!C53*IF(Oversikt!$B$18="J",1,0)+Ammekyr!C58*IF(Oversikt!$B$19="J",1,0)+Sau!C64*IF(Oversikt!$B$23="J",1,0)+Geit!C52*IF(Oversikt!$B$24="J",1,0)</f>
        <v/>
      </c>
      <c r="D41" s="12" t="inlineStr">
        <is>
          <t>kr</t>
        </is>
      </c>
      <c r="E41"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1" s="24" t="inlineStr">
        <is>
          <t>='Mjølk'!C56*IF(Oversikt!$B$16="J",1,0)+Oksar!C53*IF(Oversikt!$B$17="J",1,0)+Mellomkalv!C53*IF(Oversikt!$B$18="J",1,0)+Ammekyr!C58*IF(Oversikt!$B$19="J",1,0)+Sau!C64*IF(Oversikt!$B$23="J",1,0)+Geit!C52*IF(Oversikt!$B$24="J",1,0)</t>
        </is>
      </c>
    </row>
    <row r="42">
      <c r="A42" s="20" t="inlineStr">
        <is>
          <t>DB grovfôrbaserte husdyr m/tilskot</t>
        </is>
      </c>
      <c r="B42" s="21" t="inlineStr">
        <is>
          <t>Utrekna</t>
        </is>
      </c>
      <c r="C42" s="22">
        <f>'Mjølk'!C57*IF(Oversikt!$B$16="J",1,0)+Oksar!C54*IF(Oversikt!$B$17="J",1,0)+Mellomkalv!C54*IF(Oversikt!$B$18="J",1,0)+Ammekyr!C59*IF(Oversikt!$B$19="J",1,0)+Sau!C65*IF(Oversikt!$B$23="J",1,0)+Geit!C53*IF(Oversikt!$B$24="J",1,0)</f>
        <v/>
      </c>
      <c r="D42" s="12" t="inlineStr">
        <is>
          <t>kr</t>
        </is>
      </c>
      <c r="E42"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42" s="24" t="inlineStr">
        <is>
          <t>='Mjølk'!C57*IF(Oversikt!$B$16="J",1,0)+Oksar!C54*IF(Oversikt!$B$17="J",1,0)+Mellomkalv!C54*IF(Oversikt!$B$18="J",1,0)+Ammekyr!C59*IF(Oversikt!$B$19="J",1,0)+Sau!C65*IF(Oversikt!$B$23="J",1,0)+Geit!C53*IF(Oversikt!$B$24="J",1,0)</t>
        </is>
      </c>
    </row>
    <row r="43">
      <c r="A43" s="18" t="inlineStr">
        <is>
          <t>4b. UTREKNING – Arealbehov etter fôrnorm (kontroll av grovfôrbalansen)</t>
        </is>
      </c>
      <c r="B43" s="19" t="n"/>
      <c r="C43" s="19" t="n"/>
      <c r="D43" s="19" t="n"/>
      <c r="E43" s="19" t="n"/>
      <c r="F43" s="19" t="n"/>
    </row>
    <row r="44">
      <c r="A44" s="20" t="inlineStr">
        <is>
          <t>Arealbehov etter fôrnorm – Mjølk</t>
        </is>
      </c>
      <c r="B44" s="21" t="inlineStr">
        <is>
          <t>Utrekna</t>
        </is>
      </c>
      <c r="C44" s="36">
        <f>'Mjølk'!C7*('Mjølk'!C17/625+'Mjølk'!C18/650)*IF(Oversikt!$B$16="J",1,0)</f>
        <v/>
      </c>
      <c r="D44" s="12" t="inlineStr">
        <is>
          <t>da</t>
        </is>
      </c>
      <c r="E44"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44" s="24" t="inlineStr">
        <is>
          <t>='Mjølk'!C7*('Mjølk'!C17/625+'Mjølk'!C18/650)*IF(Oversikt!$B$16="J",1,0)</t>
        </is>
      </c>
    </row>
    <row r="45">
      <c r="A45" s="20" t="inlineStr">
        <is>
          <t>Arealbehov etter fôrnorm – Oksar</t>
        </is>
      </c>
      <c r="B45" s="21" t="inlineStr">
        <is>
          <t>Utrekna</t>
        </is>
      </c>
      <c r="C45" s="36">
        <f>Oksar!C7*(Oksar!C16/625+Oksar!C17/650)*IF(Oversikt!$B$17="J",1,0)</f>
        <v/>
      </c>
      <c r="D45" s="12" t="inlineStr">
        <is>
          <t>da</t>
        </is>
      </c>
      <c r="E45"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45" s="24" t="inlineStr">
        <is>
          <t>=Oksar!C7*(Oksar!C16/625+Oksar!C17/650)*IF(Oversikt!$B$17="J",1,0)</t>
        </is>
      </c>
    </row>
    <row r="46">
      <c r="A46" s="20" t="inlineStr">
        <is>
          <t>Arealbehov etter fôrnorm – Mellomkalv</t>
        </is>
      </c>
      <c r="B46" s="21" t="inlineStr">
        <is>
          <t>Utrekna</t>
        </is>
      </c>
      <c r="C46" s="36">
        <f>Mellomkalv!C7*(Mellomkalv!C16/625+Mellomkalv!C17/650)*IF(Oversikt!$B$18="J",1,0)</f>
        <v/>
      </c>
      <c r="D46" s="12" t="inlineStr">
        <is>
          <t>da</t>
        </is>
      </c>
      <c r="E46"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46" s="24" t="inlineStr">
        <is>
          <t>=Mellomkalv!C7*(Mellomkalv!C16/625+Mellomkalv!C17/650)*IF(Oversikt!$B$18="J",1,0)</t>
        </is>
      </c>
    </row>
    <row r="47">
      <c r="A47" s="20" t="inlineStr">
        <is>
          <t>Arealbehov etter fôrnorm – Ammekyr</t>
        </is>
      </c>
      <c r="B47" s="21" t="inlineStr">
        <is>
          <t>Utrekna</t>
        </is>
      </c>
      <c r="C47" s="36">
        <f>Ammekyr!C7*(Ammekyr!C21/625+Ammekyr!C22/650)*IF(Oversikt!$B$19="J",1,0)</f>
        <v/>
      </c>
      <c r="D47" s="12" t="inlineStr">
        <is>
          <t>da</t>
        </is>
      </c>
      <c r="E47"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47" s="24" t="inlineStr">
        <is>
          <t>=Ammekyr!C7*(Ammekyr!C21/625+Ammekyr!C22/650)*IF(Oversikt!$B$19="J",1,0)</t>
        </is>
      </c>
    </row>
    <row r="48">
      <c r="A48" s="20" t="inlineStr">
        <is>
          <t>Arealbehov etter fôrnorm – Sau</t>
        </is>
      </c>
      <c r="B48" s="21" t="inlineStr">
        <is>
          <t>Utrekna</t>
        </is>
      </c>
      <c r="C48" s="36">
        <f>Sau!C7*(Sau!C25/625+Sau!C26/650)*IF(Oversikt!$B$23="J",1,0)</f>
        <v/>
      </c>
      <c r="D48" s="12" t="inlineStr">
        <is>
          <t>da</t>
        </is>
      </c>
      <c r="E48"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48" s="24" t="inlineStr">
        <is>
          <t>=Sau!C7*(Sau!C25/625+Sau!C26/650)*IF(Oversikt!$B$23="J",1,0)</t>
        </is>
      </c>
    </row>
    <row r="49">
      <c r="A49" s="20" t="inlineStr">
        <is>
          <t>Arealbehov etter fôrnorm – Geit</t>
        </is>
      </c>
      <c r="B49" s="21" t="inlineStr">
        <is>
          <t>Utrekna</t>
        </is>
      </c>
      <c r="C49" s="36">
        <f>Geit!C7*(Geit!C14/625+Geit!C15/650)*IF(Oversikt!$B$24="J",1,0)</f>
        <v/>
      </c>
      <c r="D49" s="12" t="inlineStr">
        <is>
          <t>da</t>
        </is>
      </c>
      <c r="E49"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49" s="24" t="inlineStr">
        <is>
          <t>=Geit!C7*(Geit!C14/625+Geit!C15/650)*IF(Oversikt!$B$24="J",1,0)</t>
        </is>
      </c>
    </row>
    <row r="50">
      <c r="A50" s="20" t="inlineStr">
        <is>
          <t>Sum arealbehov etter fôrnorm</t>
        </is>
      </c>
      <c r="B50" s="21" t="inlineStr">
        <is>
          <t>Utrekna</t>
        </is>
      </c>
      <c r="C50" s="36">
        <f>C44+C45+C46+C47+C48+C49</f>
        <v/>
      </c>
      <c r="D50" s="12" t="inlineStr">
        <is>
          <t>da</t>
        </is>
      </c>
      <c r="E50" s="23" t="inlineStr">
        <is>
          <t>Sum arealbehov etter fôrnorm = Arealbehov etter fôrnorm – Mjølk [C44] + Arealbehov etter fôrnorm – Oksar [C45] + Arealbehov etter fôrnorm – Mellomkalv [C46] + Arealbehov etter fôrnorm – Ammekyr [C47] + Arealbehov etter fôrnorm – Sau [C48] + Arealbehov etter fôrnorm – Geit [C49]</t>
        </is>
      </c>
      <c r="F50" s="24" t="inlineStr">
        <is>
          <t>=C44+C45+C46+C47+C48+C49</t>
        </is>
      </c>
    </row>
    <row r="51">
      <c r="A51" s="18" t="inlineStr">
        <is>
          <t>5. OUTPUT – Nøkkeltal grovfôr</t>
        </is>
      </c>
      <c r="B51" s="19" t="n"/>
      <c r="C51" s="19" t="n"/>
      <c r="D51" s="19" t="n"/>
      <c r="E51" s="19" t="n"/>
      <c r="F51" s="19" t="n"/>
    </row>
    <row r="52">
      <c r="A52" s="25" t="inlineStr">
        <is>
          <t>Variabel grovfôrkostnad pr korrigert dekar</t>
        </is>
      </c>
      <c r="B52" s="26" t="inlineStr">
        <is>
          <t>Utrekna</t>
        </is>
      </c>
      <c r="C52" s="39">
        <f>IF((C21)=0,0,(C39)/(C21))</f>
        <v/>
      </c>
      <c r="D52" s="28" t="inlineStr">
        <is>
          <t>kr</t>
        </is>
      </c>
      <c r="E52" s="29" t="inlineStr">
        <is>
          <t>Variabel grovfôrkostnad pr korrigert dekar = Sum variabel grovfôrkostnad (utan plast) [C39] ÷ Korrigert grovfôrareal (overflate/1,25 + fulldyrka + kulturbeite/2,5) [C21]</t>
        </is>
      </c>
      <c r="F52" s="30" t="inlineStr">
        <is>
          <t>=IF((C21)=0,0,(C39)/(C21))</t>
        </is>
      </c>
    </row>
    <row r="53">
      <c r="A53" s="25" t="inlineStr">
        <is>
          <t>Maskinkostnader pr dekar grovfôr</t>
        </is>
      </c>
      <c r="B53" s="26" t="inlineStr">
        <is>
          <t>Utrekna</t>
        </is>
      </c>
      <c r="C53" s="39">
        <f>IF((C20)=0,0,(C40)/(C20))</f>
        <v/>
      </c>
      <c r="D53" s="28" t="inlineStr">
        <is>
          <t>kr</t>
        </is>
      </c>
      <c r="E53" s="29" t="inlineStr">
        <is>
          <t>Maskinkostnader pr dekar grovfôr = Maskinkostnader i grovfôrproduksjonane [C40] ÷ Dekar grovfôr – maskinkostnadsgrunnlag (overflate/2 + fulldyrka + kulturbeite×10 %) [C20]</t>
        </is>
      </c>
      <c r="F53" s="30" t="inlineStr">
        <is>
          <t>=IF((C20)=0,0,(C40)/(C20))</t>
        </is>
      </c>
    </row>
    <row r="54">
      <c r="A54" s="25" t="inlineStr">
        <is>
          <t>Korrigerte dekar pr «kueining»</t>
        </is>
      </c>
      <c r="B54" s="26" t="inlineStr">
        <is>
          <t>Utrekna</t>
        </is>
      </c>
      <c r="C54" s="39">
        <f>IF((C31)=0,0,(C21)/(C31))</f>
        <v/>
      </c>
      <c r="D54" s="28" t="inlineStr">
        <is>
          <t>da</t>
        </is>
      </c>
      <c r="E54" s="29" t="inlineStr">
        <is>
          <t>Korrigerte dekar pr «kueining» = Korrigert grovfôrareal (overflate/1,25 + fulldyrka + kulturbeite/2,5) [C21] ÷ Sum «kueiningar» [C31]</t>
        </is>
      </c>
      <c r="F54" s="30" t="inlineStr">
        <is>
          <t>=IF((C31)=0,0,(C21)/(C31))</t>
        </is>
      </c>
    </row>
    <row r="55">
      <c r="A55" s="25" t="inlineStr">
        <is>
          <t>Dekar fulldyrka pr «kueining»</t>
        </is>
      </c>
      <c r="B55" s="26" t="inlineStr">
        <is>
          <t>Utrekna</t>
        </is>
      </c>
      <c r="C55" s="39">
        <f>IF((C31)=0,0,(C18)/(C31))</f>
        <v/>
      </c>
      <c r="D55" s="28" t="inlineStr">
        <is>
          <t>da</t>
        </is>
      </c>
      <c r="E55" s="29" t="inlineStr">
        <is>
          <t>Dekar fulldyrka pr «kueining» = Fulldyrka til eigen grovfôrbasert husdyrproduksjon [C18] ÷ Sum «kueiningar» [C31]</t>
        </is>
      </c>
      <c r="F55" s="30" t="inlineStr">
        <is>
          <t>=IF((C31)=0,0,(C18)/(C31))</t>
        </is>
      </c>
    </row>
    <row r="56">
      <c r="A56" s="25" t="inlineStr">
        <is>
          <t>Dekar kulturbeite pr «kueining»</t>
        </is>
      </c>
      <c r="B56" s="26" t="inlineStr">
        <is>
          <t>Utrekna</t>
        </is>
      </c>
      <c r="C56" s="39">
        <f>IF((C31)=0,0,(C19)/(C31))</f>
        <v/>
      </c>
      <c r="D56" s="28" t="inlineStr">
        <is>
          <t>da</t>
        </is>
      </c>
      <c r="E56" s="29" t="inlineStr">
        <is>
          <t>Dekar kulturbeite pr «kueining» = Kulturbeite til eige bruk [C19] ÷ Sum «kueiningar» [C31]</t>
        </is>
      </c>
      <c r="F56" s="30" t="inlineStr">
        <is>
          <t>=IF((C31)=0,0,(C19)/(C31))</t>
        </is>
      </c>
    </row>
    <row r="57">
      <c r="A57" s="25" t="inlineStr">
        <is>
          <t>FEm frå utmark pr «kueining»</t>
        </is>
      </c>
      <c r="B57" s="26" t="inlineStr">
        <is>
          <t>Utrekna</t>
        </is>
      </c>
      <c r="C57" s="27">
        <f>IF((C31)=0,0,(C22)/(C31))</f>
        <v/>
      </c>
      <c r="D57" s="28" t="inlineStr">
        <is>
          <t>FEm</t>
        </is>
      </c>
      <c r="E57" s="29" t="inlineStr">
        <is>
          <t>FEm frå utmark pr «kueining» = Fôreiningar (FEm) henta frå utmark [C22] ÷ Sum «kueiningar» [C31]</t>
        </is>
      </c>
      <c r="F57" s="30" t="inlineStr">
        <is>
          <t>=IF((C31)=0,0,(C22)/(C31))</t>
        </is>
      </c>
    </row>
    <row r="58">
      <c r="A58" s="25" t="inlineStr">
        <is>
          <t>DB grovfôrbaserte husdyr u/tilskot pr korrigert dekar</t>
        </is>
      </c>
      <c r="B58" s="26" t="inlineStr">
        <is>
          <t>Utrekna</t>
        </is>
      </c>
      <c r="C58" s="39">
        <f>IF((C21)=0,0,(C41)/(C21))</f>
        <v/>
      </c>
      <c r="D58" s="28" t="inlineStr">
        <is>
          <t>kr</t>
        </is>
      </c>
      <c r="E58" s="29" t="inlineStr">
        <is>
          <t>DB grovfôrbaserte husdyr u/tilskot pr korrigert dekar = DB grovfôrbaserte husdyr u/tilskot [C41] ÷ Korrigert grovfôrareal (overflate/1,25 + fulldyrka + kulturbeite/2,5) [C21]</t>
        </is>
      </c>
      <c r="F58" s="30" t="inlineStr">
        <is>
          <t>=IF((C21)=0,0,(C41)/(C21))</t>
        </is>
      </c>
    </row>
    <row r="59">
      <c r="A59" s="25" t="inlineStr">
        <is>
          <t>DB grovfôrbaserte husdyr m/tilskot pr korrigert dekar</t>
        </is>
      </c>
      <c r="B59" s="26" t="inlineStr">
        <is>
          <t>Utrekna</t>
        </is>
      </c>
      <c r="C59" s="39">
        <f>IF((C21)=0,0,(C42)/(C21))</f>
        <v/>
      </c>
      <c r="D59" s="28" t="inlineStr">
        <is>
          <t>kr</t>
        </is>
      </c>
      <c r="E59" s="29" t="inlineStr">
        <is>
          <t>DB grovfôrbaserte husdyr m/tilskot pr korrigert dekar = DB grovfôrbaserte husdyr m/tilskot [C42] ÷ Korrigert grovfôrareal (overflate/1,25 + fulldyrka + kulturbeite/2,5) [C21]</t>
        </is>
      </c>
      <c r="F59" s="30" t="inlineStr">
        <is>
          <t>=IF((C21)=0,0,(C42)/(C21))</t>
        </is>
      </c>
    </row>
    <row r="60">
      <c r="A60" s="25" t="inlineStr">
        <is>
          <t>Korrigert grovfôrareal i % av arealbehov etter fôrnorm</t>
        </is>
      </c>
      <c r="B60" s="26" t="inlineStr">
        <is>
          <t>Utrekna</t>
        </is>
      </c>
      <c r="C60" s="33">
        <f>IF((C50)=0,0,(C21)/(C50))</f>
        <v/>
      </c>
      <c r="D60" s="28" t="inlineStr">
        <is>
          <t>%</t>
        </is>
      </c>
      <c r="E60" s="29" t="inlineStr">
        <is>
          <t>Korrigert grovfôrareal i % av arealbehov etter fôrnorm = Korrigert grovfôrareal (overflate/1,25 + fulldyrka + kulturbeite/2,5) [C21] ÷ Sum arealbehov etter fôrnorm [C50]   (Under 100 % tyder på kjøpt fôr eller høge avlingar, over 100 % på overskot av areal)</t>
        </is>
      </c>
      <c r="F60" s="30" t="inlineStr">
        <is>
          <t>=IF((C50)=0,0,(C21)/(C50))</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kostnader'!C65</f>
        <v/>
      </c>
      <c r="D48" s="12" t="inlineStr">
        <is>
          <t>kr</t>
        </is>
      </c>
      <c r="E48" s="23" t="inlineStr">
        <is>
          <t>Innandørsmekanisering fordelt = Innandørsmekanisering – Mjølk [Faste kostnader!C65]</t>
        </is>
      </c>
      <c r="F48" s="24" t="inlineStr">
        <is>
          <t>='Faste kostnader'!C65</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IF(('Grovfôr'!C21*IF(('Grovfôr'!C38)=0,0,(C53)/('Grovfôr'!C38)))=0,0,(C56)/('Grovfôr'!C21*IF(('Grovfôr'!C38)=0,0,(C53)/('Grovfôr'!C38))))</f>
        <v/>
      </c>
      <c r="D90" s="28" t="inlineStr">
        <is>
          <t>kr</t>
        </is>
      </c>
      <c r="E90" s="29" t="inlineStr">
        <is>
          <t>DB pr dekar grovfôr u/tilskot = Dekningsbidrag (DB) utan tilskot [C56] ÷ (Korrigert grovfôrareal (overflate/1,25 + fulldyrka + kulturbeite/2,5) [Grovfôr!C21] × Sum eigen grovfôrproduksjon (utan lagerendring) [C53] ÷ Sum eigen grovfôrkostnad (fordelingsnøkkel areal) [Grovfôr!C38])   (Grovfôrarealet blir fordelt etter produksjonen sin del av eigen grovfôrkostnad)</t>
        </is>
      </c>
      <c r="F90" s="30" t="inlineStr">
        <is>
          <t>=IF(('Grovfôr'!C21*IF(('Grovfôr'!C38)=0,0,(C53)/('Grovfôr'!C38)))=0,0,(C56)/('Grovfôr'!C21*IF(('Grovfôr'!C38)=0,0,(C53)/('Grovfôr'!C38))))</t>
        </is>
      </c>
    </row>
    <row r="91">
      <c r="A91" s="25" t="inlineStr">
        <is>
          <t>DB pr dekar grovfôr m/tilskot</t>
        </is>
      </c>
      <c r="B91" s="26" t="inlineStr">
        <is>
          <t>Utrekna</t>
        </is>
      </c>
      <c r="C91" s="39">
        <f>IF(('Grovfôr'!C21*IF(('Grovfôr'!C38)=0,0,(C53)/('Grovfôr'!C38)))=0,0,(C57)/('Grovfôr'!C21*IF(('Grovfôr'!C38)=0,0,(C53)/('Grovfôr'!C38))))</f>
        <v/>
      </c>
      <c r="D91" s="28" t="inlineStr">
        <is>
          <t>kr</t>
        </is>
      </c>
      <c r="E91" s="29" t="inlineStr">
        <is>
          <t>DB pr dekar grovfôr m/tilskot = Dekningsbidrag (DB) med tilskot [C57] ÷ (Korrigert grovfôrareal (overflate/1,25 + fulldyrka + kulturbeite/2,5) [Grovfôr!C21] × Sum eigen grovfôrproduksjon (utan lagerendring) [C53] ÷ Sum eigen grovfôrkostnad (fordelingsnøkkel areal) [Grovfôr!C38])</t>
        </is>
      </c>
      <c r="F91" s="30" t="inlineStr">
        <is>
          <t>=IF(('Grovfôr'!C21*IF(('Grovfôr'!C38)=0,0,(C53)/('Grovfôr'!C38)))=0,0,(C57)/('Grovfôr'!C21*IF(('Grovfôr'!C38)=0,0,(C53)/('Grovfôr'!C38))))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Oppnådd mjølkepris pr liter (u/distriktstilskot)</t>
        </is>
      </c>
      <c r="B95" s="26" t="inlineStr">
        <is>
          <t>Utrekna</t>
        </is>
      </c>
      <c r="C95" s="39">
        <f>IF((C8)=0,0,(C22-C27)/(C8))</f>
        <v/>
      </c>
      <c r="D95" s="28" t="inlineStr">
        <is>
          <t>kr</t>
        </is>
      </c>
      <c r="E95" s="29" t="inlineStr">
        <is>
          <t>Oppnådd mjølkepris pr liter (u/distriktstilskot) = (Mjølk [C22] − Herav distriktstilskot mjølk [C27]) ÷ Levert mjølk [C8]</t>
        </is>
      </c>
      <c r="F95" s="30" t="inlineStr">
        <is>
          <t>=IF((C8)=0,0,(C22-C27)/(C8))</t>
        </is>
      </c>
    </row>
    <row r="96">
      <c r="A96" s="25" t="inlineStr">
        <is>
          <t>Oppnådd slaktepris pr kg (u/distriktstilskot)</t>
        </is>
      </c>
      <c r="B96" s="26" t="inlineStr">
        <is>
          <t>Utrekna</t>
        </is>
      </c>
      <c r="C96" s="39">
        <f>IF((C10)=0,0,(C23-C28)/(C10))</f>
        <v/>
      </c>
      <c r="D96" s="28" t="inlineStr">
        <is>
          <t>kr</t>
        </is>
      </c>
      <c r="E96" s="29" t="inlineStr">
        <is>
          <t>Oppnådd slaktepris pr kg (u/distriktstilskot) = (Slakt [C23] − Herav distriktstilskot kjøt [C28]) ÷ Kg slakt storfe (mjølkeproduksjonen) [C10]</t>
        </is>
      </c>
      <c r="F96" s="30" t="inlineStr">
        <is>
          <t>=IF((C10)=0,0,(C23-C28)/(C10))</t>
        </is>
      </c>
    </row>
    <row r="97">
      <c r="A97" s="25" t="inlineStr">
        <is>
          <t>Maskinkostnader pr liter</t>
        </is>
      </c>
      <c r="B97" s="26" t="inlineStr">
        <is>
          <t>Utrekna</t>
        </is>
      </c>
      <c r="C97" s="39">
        <f>IF((C8)=0,0,(C47)/(C8))</f>
        <v/>
      </c>
      <c r="D97" s="28" t="inlineStr">
        <is>
          <t>kr</t>
        </is>
      </c>
      <c r="E97" s="29" t="inlineStr">
        <is>
          <t>Maskinkostnader pr liter = Maskinkostnader fordelt [C47] ÷ Levert mjølk [C8]</t>
        </is>
      </c>
      <c r="F97" s="30" t="inlineStr">
        <is>
          <t>=IF((C8)=0,0,(C47)/(C8))</t>
        </is>
      </c>
    </row>
    <row r="98">
      <c r="A98" s="25" t="inlineStr">
        <is>
          <t>Innandørsmekanisering pr liter</t>
        </is>
      </c>
      <c r="B98" s="26" t="inlineStr">
        <is>
          <t>Utrekna</t>
        </is>
      </c>
      <c r="C98" s="39">
        <f>IF((C8)=0,0,(C48)/(C8))</f>
        <v/>
      </c>
      <c r="D98" s="28" t="inlineStr">
        <is>
          <t>kr</t>
        </is>
      </c>
      <c r="E98" s="29" t="inlineStr">
        <is>
          <t>Innandørsmekanisering pr liter = Innandørsmekanisering fordelt [C48] ÷ Levert mjølk [C8]</t>
        </is>
      </c>
      <c r="F98" s="30" t="inlineStr">
        <is>
          <t>=IF((C8)=0,0,(C48)/(C8))</t>
        </is>
      </c>
    </row>
    <row r="99">
      <c r="A99" s="25" t="inlineStr">
        <is>
          <t>Innandørsmekanisering pr årsku</t>
        </is>
      </c>
      <c r="B99" s="26" t="inlineStr">
        <is>
          <t>Utrekna</t>
        </is>
      </c>
      <c r="C99" s="39">
        <f>IF((C7)=0,0,(C48)/(C7))</f>
        <v/>
      </c>
      <c r="D99" s="28" t="inlineStr">
        <is>
          <t>kr</t>
        </is>
      </c>
      <c r="E99" s="29" t="inlineStr">
        <is>
          <t>Innandørsmekanisering pr årsku = Innandørsmekanisering fordelt [C48] ÷ Tal årskyr [C7]</t>
        </is>
      </c>
      <c r="F99" s="30" t="inlineStr">
        <is>
          <t>=IF((C7)=0,0,(C48)/(C7))</t>
        </is>
      </c>
    </row>
    <row r="100">
      <c r="A100" s="25" t="inlineStr">
        <is>
          <t>Levert mjølk pr årsku (liter)</t>
        </is>
      </c>
      <c r="B100" s="26" t="inlineStr">
        <is>
          <t>Utrekna</t>
        </is>
      </c>
      <c r="C100" s="27">
        <f>IF((C7)=0,0,(C8)/(C7))</f>
        <v/>
      </c>
      <c r="D100" s="28" t="inlineStr">
        <is>
          <t>liter</t>
        </is>
      </c>
      <c r="E100" s="29" t="inlineStr">
        <is>
          <t>Levert mjølk pr årsku (liter) = Levert mjølk [C8] ÷ Tal årskyr [C7]</t>
        </is>
      </c>
      <c r="F100" s="30" t="inlineStr">
        <is>
          <t>=IF((C7)=0,0,(C8)/(C7))</t>
        </is>
      </c>
    </row>
    <row r="101">
      <c r="A101" s="25" t="inlineStr">
        <is>
          <t>Påsettprosent</t>
        </is>
      </c>
      <c r="B101" s="26" t="inlineStr">
        <is>
          <t>Utrekna</t>
        </is>
      </c>
      <c r="C101" s="33">
        <f>C60</f>
        <v/>
      </c>
      <c r="D101" s="28" t="inlineStr">
        <is>
          <t>%</t>
        </is>
      </c>
      <c r="E101" s="29" t="inlineStr">
        <is>
          <t>Påsettprosent = Påsettprosent [C60]</t>
        </is>
      </c>
      <c r="F101" s="30" t="inlineStr">
        <is>
          <t>=C60</t>
        </is>
      </c>
    </row>
    <row r="102">
      <c r="A102" s="25" t="inlineStr">
        <is>
          <t>Kvoteoppfylling</t>
        </is>
      </c>
      <c r="B102" s="26" t="inlineStr">
        <is>
          <t>Utrekna</t>
        </is>
      </c>
      <c r="C102" s="33">
        <f>IF((C9)=0,0,(C8)/(C9))</f>
        <v/>
      </c>
      <c r="D102" s="28" t="inlineStr">
        <is>
          <t>%</t>
        </is>
      </c>
      <c r="E102" s="29" t="inlineStr">
        <is>
          <t>Kvoteoppfylling = Levert mjølk [C8] ÷ Disponibel mjølkekvote [C9]</t>
        </is>
      </c>
      <c r="F102" s="30" t="inlineStr">
        <is>
          <t>=IF((C9)=0,0,(C8)/(C9))</t>
        </is>
      </c>
    </row>
    <row r="103">
      <c r="A103" s="25" t="inlineStr">
        <is>
          <t>Analysegruppe (påsett)</t>
        </is>
      </c>
      <c r="B103" s="26" t="inlineStr">
        <is>
          <t>Utrekna</t>
        </is>
      </c>
      <c r="C103" s="41">
        <f>IF(C60&lt;=0.8,"Påsett &lt; 80 %",IF(C60&lt;1.2,"Påsett 80–120 %","Påsett &gt; 120 %"))</f>
        <v/>
      </c>
      <c r="D103" s="28" t="inlineStr">
        <is>
          <t>tekst</t>
        </is>
      </c>
      <c r="E103" s="29" t="inlineStr">
        <is>
          <t>Analysegruppe (påsett) = HVIS(Påsettprosent [C60]&lt;=0,8; "Påsett &lt; 80 %"; HVIS(Påsettprosent [C60]&lt;1,2; "Påsett 80–120 %"; "Påsett &gt; 120 %"))   (Tilsvarar arka «Mjølk &lt;80%», «Mjølk 80-120%» og «Mjølk &gt;120%» i eksempelanalysen)</t>
        </is>
      </c>
      <c r="F103"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kostnader'!C66</f>
        <v/>
      </c>
      <c r="D45" s="12" t="inlineStr">
        <is>
          <t>kr</t>
        </is>
      </c>
      <c r="E45" s="23" t="inlineStr">
        <is>
          <t>Innandørsmekanisering fordelt = Innandørsmekanisering – Oksar [Faste kostnader!C66]</t>
        </is>
      </c>
      <c r="F45" s="24" t="inlineStr">
        <is>
          <t>='Faste kostnader'!C66</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okse</t>
        </is>
      </c>
      <c r="B89" s="26" t="inlineStr">
        <is>
          <t>Utrekna</t>
        </is>
      </c>
      <c r="C89" s="39">
        <f>IF((C9)=0,0,(C21)/(C9))</f>
        <v/>
      </c>
      <c r="D89" s="28" t="inlineStr">
        <is>
          <t>kr</t>
        </is>
      </c>
      <c r="E89" s="29" t="inlineStr">
        <is>
          <t>Snitt slaktepris pr okse = Slakt [C21] ÷ Tal slakta oksar [C9]</t>
        </is>
      </c>
      <c r="F89" s="30" t="inlineStr">
        <is>
          <t>=IF((C9)=0,0,(C21)/(C9))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okse</t>
        </is>
      </c>
      <c r="B91" s="26" t="inlineStr">
        <is>
          <t>Utrekna</t>
        </is>
      </c>
      <c r="C91" s="39">
        <f>IF((C9)=0,0,(C21)/(C9))-IF((C11)=0,0,(C41)/(C11))</f>
        <v/>
      </c>
      <c r="D91" s="28" t="inlineStr">
        <is>
          <t>kr</t>
        </is>
      </c>
      <c r="E91" s="29" t="inlineStr">
        <is>
          <t>Slaktepris – kjøpspris pr okse = Slakt [C21] ÷ Tal slakta oksar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okse (kg)</t>
        </is>
      </c>
      <c r="B93" s="26" t="inlineStr">
        <is>
          <t>Utrekna</t>
        </is>
      </c>
      <c r="C93" s="37">
        <f>IF((C9)=0,0,(C8)/(C9))</f>
        <v/>
      </c>
      <c r="D93" s="28" t="inlineStr">
        <is>
          <t>kg</t>
        </is>
      </c>
      <c r="E93" s="29" t="inlineStr">
        <is>
          <t>Slaktevekt pr okse (kg) = Kg slakt [C8] ÷ Tal slakta oksar [C9]</t>
        </is>
      </c>
      <c r="F93" s="30" t="inlineStr">
        <is>
          <t>=IF((C9)=0,0,(C8)/(C9))</t>
        </is>
      </c>
    </row>
    <row r="94">
      <c r="A94" s="25" t="inlineStr">
        <is>
          <t>Innandørsmekanisering pr okse</t>
        </is>
      </c>
      <c r="B94" s="26" t="inlineStr">
        <is>
          <t>Utrekna</t>
        </is>
      </c>
      <c r="C94" s="39">
        <f>IF((C7)=0,0,(C45)/(C7))</f>
        <v/>
      </c>
      <c r="D94" s="28" t="inlineStr">
        <is>
          <t>kr</t>
        </is>
      </c>
      <c r="E94" s="29" t="inlineStr">
        <is>
          <t>Innandørsmekanisering pr okse = Innandørsmekanisering fordelt [C45] ÷ Tal produserte oksar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5"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kostnader'!C67</f>
        <v/>
      </c>
      <c r="D45" s="12" t="inlineStr">
        <is>
          <t>kr</t>
        </is>
      </c>
      <c r="E45" s="23" t="inlineStr">
        <is>
          <t>Innandørsmekanisering fordelt = Innandørsmekanisering – Mellomkalv [Faste kostnader!C67]</t>
        </is>
      </c>
      <c r="F45" s="24" t="inlineStr">
        <is>
          <t>='Faste kostnader'!C67</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kalv (u/distriktstilskot)</t>
        </is>
      </c>
      <c r="B89" s="26" t="inlineStr">
        <is>
          <t>Utrekna</t>
        </is>
      </c>
      <c r="C89" s="39">
        <f>IF((C9)=0,0,(C21-C25)/(C9))</f>
        <v/>
      </c>
      <c r="D89" s="28" t="inlineStr">
        <is>
          <t>kr</t>
        </is>
      </c>
      <c r="E89" s="29" t="inlineStr">
        <is>
          <t>Snitt slaktepris pr kalv (u/distriktstilskot) = (Slakt [C21] − Herav distriktstilskot kjøt [C25]) ÷ Tal slakta kalvar [C9]</t>
        </is>
      </c>
      <c r="F89" s="30" t="inlineStr">
        <is>
          <t>=IF((C9)=0,0,(C21-C25)/(C9))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kalv</t>
        </is>
      </c>
      <c r="B91" s="26" t="inlineStr">
        <is>
          <t>Utrekna</t>
        </is>
      </c>
      <c r="C91" s="39">
        <f>IF((C9)=0,0,(C21)/(C9))-IF((C11)=0,0,(C41)/(C11))</f>
        <v/>
      </c>
      <c r="D91" s="28" t="inlineStr">
        <is>
          <t>kr</t>
        </is>
      </c>
      <c r="E91" s="29" t="inlineStr">
        <is>
          <t>Slaktepris – kjøpspris pr kalv = Slakt [C21] ÷ Tal slakta kalvar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kalv (kg)</t>
        </is>
      </c>
      <c r="B93" s="26" t="inlineStr">
        <is>
          <t>Utrekna</t>
        </is>
      </c>
      <c r="C93" s="37">
        <f>IF((C9)=0,0,(C8)/(C9))</f>
        <v/>
      </c>
      <c r="D93" s="28" t="inlineStr">
        <is>
          <t>kg</t>
        </is>
      </c>
      <c r="E93" s="29" t="inlineStr">
        <is>
          <t>Slaktevekt pr kalv (kg) = Kg slakt [C8] ÷ Tal slakta kalvar [C9]</t>
        </is>
      </c>
      <c r="F93" s="30" t="inlineStr">
        <is>
          <t>=IF((C9)=0,0,(C8)/(C9))</t>
        </is>
      </c>
    </row>
    <row r="94">
      <c r="A94" s="25" t="inlineStr">
        <is>
          <t>Innandørsmekanisering pr kalv</t>
        </is>
      </c>
      <c r="B94" s="26" t="inlineStr">
        <is>
          <t>Utrekna</t>
        </is>
      </c>
      <c r="C94" s="39">
        <f>IF((C7)=0,0,(C45)/(C7))</f>
        <v/>
      </c>
      <c r="D94" s="28" t="inlineStr">
        <is>
          <t>kr</t>
        </is>
      </c>
      <c r="E94" s="29" t="inlineStr">
        <is>
          <t>Innandørsmekanisering pr kalv = Innandørsmekanisering fordelt [C45] ÷ Tal produserte kalvar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5"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kostnader'!C68</f>
        <v/>
      </c>
      <c r="D50" s="12" t="inlineStr">
        <is>
          <t>kr</t>
        </is>
      </c>
      <c r="E50" s="23" t="inlineStr">
        <is>
          <t>Innandørsmekanisering fordelt = Innandørsmekanisering – Ammekyr [Faste kostnader!C68]</t>
        </is>
      </c>
      <c r="F50" s="24" t="inlineStr">
        <is>
          <t>='Faste kostnader'!C68</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IF(('Grovfôr'!C21*IF(('Grovfôr'!C38)=0,0,(C55)/('Grovfôr'!C38)))=0,0,(C58)/('Grovfôr'!C21*IF(('Grovfôr'!C38)=0,0,(C55)/('Grovfôr'!C38))))</f>
        <v/>
      </c>
      <c r="D90" s="28" t="inlineStr">
        <is>
          <t>kr</t>
        </is>
      </c>
      <c r="E90" s="29" t="inlineStr">
        <is>
          <t>DB pr dekar grovfôr u/tilskot = Dekningsbidrag (DB) utan tilskot [C58] ÷ (Korrigert grovfôrareal (overflate/1,25 + fulldyrka + kulturbeite/2,5) [Grovfôr!C21] × Sum eigen grovfôrproduksjon (utan lagerendring) [C55] ÷ Sum eigen grovfôrkostnad (fordelingsnøkkel areal) [Grovfôr!C38])   (Grovfôrarealet blir fordelt etter produksjonen sin del av eigen grovfôrkostnad)</t>
        </is>
      </c>
      <c r="F90" s="30" t="inlineStr">
        <is>
          <t>=IF(('Grovfôr'!C21*IF(('Grovfôr'!C38)=0,0,(C55)/('Grovfôr'!C38)))=0,0,(C58)/('Grovfôr'!C21*IF(('Grovfôr'!C38)=0,0,(C55)/('Grovfôr'!C38))))</t>
        </is>
      </c>
    </row>
    <row r="91">
      <c r="A91" s="25" t="inlineStr">
        <is>
          <t>DB pr dekar grovfôr m/tilskot</t>
        </is>
      </c>
      <c r="B91" s="26" t="inlineStr">
        <is>
          <t>Utrekna</t>
        </is>
      </c>
      <c r="C91" s="39">
        <f>IF(('Grovfôr'!C21*IF(('Grovfôr'!C38)=0,0,(C55)/('Grovfôr'!C38)))=0,0,(C59)/('Grovfôr'!C21*IF(('Grovfôr'!C38)=0,0,(C55)/('Grovfôr'!C38))))</f>
        <v/>
      </c>
      <c r="D91" s="28" t="inlineStr">
        <is>
          <t>kr</t>
        </is>
      </c>
      <c r="E91" s="29" t="inlineStr">
        <is>
          <t>DB pr dekar grovfôr m/tilskot = Dekningsbidrag (DB) med tilskot [C59] ÷ (Korrigert grovfôrareal (overflate/1,25 + fulldyrka + kulturbeite/2,5) [Grovfôr!C21] × Sum eigen grovfôrproduksjon (utan lagerendring) [C55] ÷ Sum eigen grovfôrkostnad (fordelingsnøkkel areal) [Grovfôr!C38])</t>
        </is>
      </c>
      <c r="F91" s="30" t="inlineStr">
        <is>
          <t>=IF(('Grovfôr'!C21*IF(('Grovfôr'!C38)=0,0,(C55)/('Grovfôr'!C38)))=0,0,(C59)/('Grovfôr'!C21*IF(('Grovfôr'!C38)=0,0,(C55)/('Grovfôr'!C38))))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Innandørsmekanisering pr ammeku</t>
        </is>
      </c>
      <c r="B95" s="26" t="inlineStr">
        <is>
          <t>Utrekna</t>
        </is>
      </c>
      <c r="C95" s="39">
        <f>IF((C7)=0,0,(C50)/(C7))</f>
        <v/>
      </c>
      <c r="D95" s="28" t="inlineStr">
        <is>
          <t>kr</t>
        </is>
      </c>
      <c r="E95" s="29" t="inlineStr">
        <is>
          <t>Innandørsmekanisering pr ammeku = Innandørsmekanisering fordelt [C50] ÷ Tal ammekyr [C7]</t>
        </is>
      </c>
      <c r="F95" s="30" t="inlineStr">
        <is>
          <t>=IF((C7)=0,0,(C50)/(C7))</t>
        </is>
      </c>
    </row>
    <row r="96">
      <c r="A96" s="25" t="inlineStr">
        <is>
          <t>Påsettprosent</t>
        </is>
      </c>
      <c r="B96" s="26" t="inlineStr">
        <is>
          <t>Utrekna</t>
        </is>
      </c>
      <c r="C96" s="33">
        <f>C62</f>
        <v/>
      </c>
      <c r="D96" s="28" t="inlineStr">
        <is>
          <t>%</t>
        </is>
      </c>
      <c r="E96" s="29" t="inlineStr">
        <is>
          <t>Påsettprosent = Påsettprosent [C62]</t>
        </is>
      </c>
      <c r="F96" s="30" t="inlineStr">
        <is>
          <t>=C62</t>
        </is>
      </c>
    </row>
    <row r="97">
      <c r="A97" s="25" t="inlineStr">
        <is>
          <t>Snitt slaktevekt kyr (kg)</t>
        </is>
      </c>
      <c r="B97" s="26" t="inlineStr">
        <is>
          <t>Utrekna</t>
        </is>
      </c>
      <c r="C97" s="37">
        <f>IF((C17)=0,0,(C16)/(C17))</f>
        <v/>
      </c>
      <c r="D97" s="28" t="inlineStr">
        <is>
          <t>kg</t>
        </is>
      </c>
      <c r="E97" s="29" t="inlineStr">
        <is>
          <t>Snitt slaktevekt kyr (kg) = Kg slakt kyr [C16] ÷ Tal slakta kyr [C17]</t>
        </is>
      </c>
      <c r="F97" s="30" t="inlineStr">
        <is>
          <t>=IF((C17)=0,0,(C16)/(C17))</t>
        </is>
      </c>
    </row>
    <row r="98">
      <c r="A98" s="25" t="inlineStr">
        <is>
          <t>Nyttbar kalv pr ku</t>
        </is>
      </c>
      <c r="B98" s="26" t="inlineStr">
        <is>
          <t>Utrekna</t>
        </is>
      </c>
      <c r="C98" s="39">
        <f>IF((C7)=0,0,((C9+C11+C13+C15)+C19-C20-(C8+C10+C12+C14))/(C7))</f>
        <v/>
      </c>
      <c r="D98" s="28" t="inlineStr">
        <is>
          <t>stk</t>
        </is>
      </c>
      <c r="E98"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8" s="30" t="inlineStr">
        <is>
          <t>=IF((C7)=0,0,((C9+C11+C13+C15)+C19-C20-(C8+C10+C12+C14))/(C7))</t>
        </is>
      </c>
    </row>
    <row r="99">
      <c r="A99" s="25" t="inlineStr">
        <is>
          <t>Oppnådd pris pr kg slakt (u/distriktstilskot)</t>
        </is>
      </c>
      <c r="B99" s="26" t="inlineStr">
        <is>
          <t>Utrekna</t>
        </is>
      </c>
      <c r="C99" s="39">
        <f>IF((C18)=0,0,(C27-C30)/(C18))</f>
        <v/>
      </c>
      <c r="D99" s="28" t="inlineStr">
        <is>
          <t>kr</t>
        </is>
      </c>
      <c r="E99" s="29" t="inlineStr">
        <is>
          <t>Oppnådd pris pr kg slakt (u/distriktstilskot) = (Slakt [C27] − Herav distriktstilskot kjøt [C30]) ÷ Kg slakt totalt [C18]</t>
        </is>
      </c>
      <c r="F99" s="30" t="inlineStr">
        <is>
          <t>=IF((C18)=0,0,(C27-C30)/(C18))</t>
        </is>
      </c>
    </row>
    <row r="100">
      <c r="A100" s="25" t="inlineStr">
        <is>
          <t>Analysegruppe (påsett)</t>
        </is>
      </c>
      <c r="B100" s="26" t="inlineStr">
        <is>
          <t>Utrekna</t>
        </is>
      </c>
      <c r="C100" s="41">
        <f>IF(C62&gt;0.5,"Påsett &gt; 50 %","Påsett &lt; 50 %")</f>
        <v/>
      </c>
      <c r="D100" s="28" t="inlineStr">
        <is>
          <t>tekst</t>
        </is>
      </c>
      <c r="E100" s="29" t="inlineStr">
        <is>
          <t>Analysegruppe (påsett) = HVIS(Påsettprosent [C62]&gt;0,5; "Påsett &gt; 50 %"; "Påsett &lt; 50 %")   (Tilsvarar arka «Ammekyr &lt;50%» og «Ammekyr &gt;50%» i eksempelanalysen)</t>
        </is>
      </c>
      <c r="F100"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kostnader'!C72</f>
        <v/>
      </c>
      <c r="D56" s="12" t="inlineStr">
        <is>
          <t>kr</t>
        </is>
      </c>
      <c r="E56" s="23" t="inlineStr">
        <is>
          <t>Innandørsmekanisering fordelt = Innandørsmekanisering – Sau [Faste kostnader!C72]</t>
        </is>
      </c>
      <c r="F56" s="24" t="inlineStr">
        <is>
          <t>='Faste kostnader'!C72</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IF(('Grovfôr'!C21*IF(('Grovfôr'!C38)=0,0,(C61)/('Grovfôr'!C38)))=0,0,(C64)/('Grovfôr'!C21*IF(('Grovfôr'!C38)=0,0,(C61)/('Grovfôr'!C38))))</f>
        <v/>
      </c>
      <c r="D100" s="28" t="inlineStr">
        <is>
          <t>kr</t>
        </is>
      </c>
      <c r="E100" s="29" t="inlineStr">
        <is>
          <t>DB pr dekar grovfôr u/tilskot = Dekningsbidrag (DB) utan tilskot [C64] ÷ (Korrigert grovfôrareal (overflate/1,25 + fulldyrka + kulturbeite/2,5) [Grovfôr!C21] × Sum eigen grovfôrproduksjon (utan lagerendring) [C61] ÷ Sum eigen grovfôrkostnad (fordelingsnøkkel areal) [Grovfôr!C38])   (Grovfôrarealet blir fordelt etter produksjonen sin del av eigen grovfôrkostnad)</t>
        </is>
      </c>
      <c r="F100" s="30" t="inlineStr">
        <is>
          <t>=IF(('Grovfôr'!C21*IF(('Grovfôr'!C38)=0,0,(C61)/('Grovfôr'!C38)))=0,0,(C64)/('Grovfôr'!C21*IF(('Grovfôr'!C38)=0,0,(C61)/('Grovfôr'!C38))))</t>
        </is>
      </c>
    </row>
    <row r="101">
      <c r="A101" s="25" t="inlineStr">
        <is>
          <t>DB pr dekar grovfôr m/tilskot</t>
        </is>
      </c>
      <c r="B101" s="26" t="inlineStr">
        <is>
          <t>Utrekna</t>
        </is>
      </c>
      <c r="C101" s="39">
        <f>IF(('Grovfôr'!C21*IF(('Grovfôr'!C38)=0,0,(C61)/('Grovfôr'!C38)))=0,0,(C65)/('Grovfôr'!C21*IF(('Grovfôr'!C38)=0,0,(C61)/('Grovfôr'!C38))))</f>
        <v/>
      </c>
      <c r="D101" s="28" t="inlineStr">
        <is>
          <t>kr</t>
        </is>
      </c>
      <c r="E101" s="29" t="inlineStr">
        <is>
          <t>DB pr dekar grovfôr m/tilskot = Dekningsbidrag (DB) med tilskot [C65] ÷ (Korrigert grovfôrareal (overflate/1,25 + fulldyrka + kulturbeite/2,5) [Grovfôr!C21] × Sum eigen grovfôrproduksjon (utan lagerendring) [C61] ÷ Sum eigen grovfôrkostnad (fordelingsnøkkel areal) [Grovfôr!C38])</t>
        </is>
      </c>
      <c r="F101" s="30" t="inlineStr">
        <is>
          <t>=IF(('Grovfôr'!C21*IF(('Grovfôr'!C38)=0,0,(C61)/('Grovfôr'!C38)))=0,0,(C65)/('Grovfôr'!C21*IF(('Grovfôr'!C38)=0,0,(C61)/('Grovfôr'!C38))))</t>
        </is>
      </c>
    </row>
    <row r="102">
      <c r="A102" s="25" t="inlineStr">
        <is>
          <t>Variabel grovfôrkostnad pr dekar</t>
        </is>
      </c>
      <c r="B102" s="26" t="inlineStr">
        <is>
          <t>Lenkje frå anna ark</t>
        </is>
      </c>
      <c r="C102" s="40">
        <f>'Grovfôr'!C52</f>
        <v/>
      </c>
      <c r="D102" s="28" t="inlineStr">
        <is>
          <t>kr</t>
        </is>
      </c>
      <c r="E102" s="29" t="inlineStr">
        <is>
          <t>Variabel grovfôrkostnad pr dekar = Variabel grovfôrkostnad pr korrigert dekar [Grovfôr!C52]</t>
        </is>
      </c>
      <c r="F102" s="30" t="inlineStr">
        <is>
          <t>='Grovfôr'!C52</t>
        </is>
      </c>
    </row>
    <row r="103">
      <c r="A103" s="25" t="inlineStr">
        <is>
          <t>Maskinkostnader pr dekar grovfôr</t>
        </is>
      </c>
      <c r="B103" s="26" t="inlineStr">
        <is>
          <t>Lenkje frå anna ark</t>
        </is>
      </c>
      <c r="C103" s="40">
        <f>'Grovfôr'!C53</f>
        <v/>
      </c>
      <c r="D103" s="28" t="inlineStr">
        <is>
          <t>kr</t>
        </is>
      </c>
      <c r="E103" s="29" t="inlineStr">
        <is>
          <t>Maskinkostnader pr dekar grovfôr = Maskinkostnader pr dekar grovfôr [Grovfôr!C53]</t>
        </is>
      </c>
      <c r="F103" s="30" t="inlineStr">
        <is>
          <t>='Grovfôr'!C53</t>
        </is>
      </c>
    </row>
    <row r="104">
      <c r="A104" s="25" t="inlineStr">
        <is>
          <t>Korrigerte dekar pr «kueining»</t>
        </is>
      </c>
      <c r="B104" s="26" t="inlineStr">
        <is>
          <t>Lenkje frå anna ark</t>
        </is>
      </c>
      <c r="C104" s="40">
        <f>'Grovfôr'!C54</f>
        <v/>
      </c>
      <c r="D104" s="28" t="inlineStr">
        <is>
          <t>da</t>
        </is>
      </c>
      <c r="E104" s="29" t="inlineStr">
        <is>
          <t>Korrigerte dekar pr «kueining» = Korrigerte dekar pr «kueining» [Grovfôr!C54]</t>
        </is>
      </c>
      <c r="F104" s="30" t="inlineStr">
        <is>
          <t>='Grovfôr'!C54</t>
        </is>
      </c>
    </row>
    <row r="105">
      <c r="A105" s="25" t="inlineStr">
        <is>
          <t>Snitt kjøtpris pr kg slakt (u/distriktstilskot)</t>
        </is>
      </c>
      <c r="B105" s="26" t="inlineStr">
        <is>
          <t>Utrekna</t>
        </is>
      </c>
      <c r="C105" s="39">
        <f>IF((C8)=0,0,(IF(C36&gt;0,C36,C31-C35))/(C8))</f>
        <v/>
      </c>
      <c r="D105" s="28" t="inlineStr">
        <is>
          <t>kr</t>
        </is>
      </c>
      <c r="E105" s="29" t="inlineStr">
        <is>
          <t>Snitt kjøtpris pr kg slakt (u/distriktstilskot) = (HVIS(Herav slakteinntekt til kjøtpris (3040–3046, 3048–3049) [C36]&gt;0; Herav slakteinntekt til kjøtpris (3040–3046, 3048–3049) [C36]; Slakt [C31] − Herav distriktstilskot kjøt [C35])) ÷ Kg slakt (sau og lam) [C8]</t>
        </is>
      </c>
      <c r="F105" s="30" t="inlineStr">
        <is>
          <t>=IF((C8)=0,0,(IF(C36&gt;0,C36,C31-C35))/(C8))</t>
        </is>
      </c>
    </row>
    <row r="106">
      <c r="A106" s="25" t="inlineStr">
        <is>
          <t>Innandørsmekanisering pr sau</t>
        </is>
      </c>
      <c r="B106" s="26" t="inlineStr">
        <is>
          <t>Utrekna</t>
        </is>
      </c>
      <c r="C106" s="39">
        <f>IF((C7)=0,0,(C56)/(C7))</f>
        <v/>
      </c>
      <c r="D106" s="28" t="inlineStr">
        <is>
          <t>kr</t>
        </is>
      </c>
      <c r="E106" s="29" t="inlineStr">
        <is>
          <t>Innandørsmekanisering pr sau = Innandørsmekanisering fordelt [C56] ÷ Tal vinterfôra sau [C7]</t>
        </is>
      </c>
      <c r="F106" s="30" t="inlineStr">
        <is>
          <t>=IF((C7)=0,0,(C56)/(C7))</t>
        </is>
      </c>
    </row>
    <row r="107">
      <c r="A107" s="25" t="inlineStr">
        <is>
          <t>Kg slakt pr vf. sau</t>
        </is>
      </c>
      <c r="B107" s="26" t="inlineStr">
        <is>
          <t>Utrekna</t>
        </is>
      </c>
      <c r="C107" s="37">
        <f>IF(C9&gt;0,C9,IF((C7)=0,0,(C8)/(C7)))</f>
        <v/>
      </c>
      <c r="D107" s="28" t="inlineStr">
        <is>
          <t>kg</t>
        </is>
      </c>
      <c r="E107" s="29" t="inlineStr">
        <is>
          <t>Kg slakt pr vf. sau = HVIS(Kg slakt pr vf. sau frå produksjonstabellen (0 = rekna ut) [C9]&gt;0; Kg slakt pr vf. sau frå produksjonstabellen (0 = rekna ut) [C9]; Kg slakt (sau og lam) [C8] ÷ Tal vinterfôra sau [C7])</t>
        </is>
      </c>
      <c r="F107" s="30" t="inlineStr">
        <is>
          <t>=IF(C9&gt;0,C9,IF((C7)=0,0,(C8)/(C7)))</t>
        </is>
      </c>
    </row>
    <row r="108">
      <c r="A108" s="25" t="inlineStr">
        <is>
          <t>Gagnslam pr vf. sau</t>
        </is>
      </c>
      <c r="B108" s="26" t="inlineStr">
        <is>
          <t>Utrekna</t>
        </is>
      </c>
      <c r="C108" s="39">
        <f>IF((C7)=0,0,(C11+C18-C10)/(C7))</f>
        <v/>
      </c>
      <c r="D108" s="28" t="inlineStr">
        <is>
          <t>stk</t>
        </is>
      </c>
      <c r="E108" s="29" t="inlineStr">
        <is>
          <t>Gagnslam pr vf. sau = (Tal slakta/selde årslam (mai–des) [C11] + Sau/lam under 12 md pr 31.12. (stk) [C18] − Tal kjøpte lam (mai–des) [C10]) ÷ Tal vinterfôra sau [C7]   ((Selde/slakta årslam + lam på lager 31.12. – kjøpte lam) delt på vf. sau)</t>
        </is>
      </c>
      <c r="F108" s="30" t="inlineStr">
        <is>
          <t>=IF((C7)=0,0,(C11+C18-C10)/(C7))</t>
        </is>
      </c>
    </row>
    <row r="109">
      <c r="A109" s="25" t="inlineStr">
        <is>
          <t>Del dyr på utmarksbeite</t>
        </is>
      </c>
      <c r="B109" s="26" t="inlineStr">
        <is>
          <t>Utrekna</t>
        </is>
      </c>
      <c r="C109" s="33">
        <f>IF((C16+C17+C18+C12)=0,0,('Grovfôr'!C12+'Grovfôr'!C13)/(C16+C17+C18+C12))</f>
        <v/>
      </c>
      <c r="D109" s="28" t="inlineStr">
        <is>
          <t>%</t>
        </is>
      </c>
      <c r="E109"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9" s="30" t="inlineStr">
        <is>
          <t>=IF((C16+C17+C18+C12)=0,0,('Grovfôr'!C12+'Grovfôr'!C13)/(C16+C17+C18+C12))</t>
        </is>
      </c>
    </row>
    <row r="110">
      <c r="A110" s="25" t="inlineStr">
        <is>
          <t>Endra DB pr vf. sau grunna prisendring på dyr</t>
        </is>
      </c>
      <c r="B110" s="26" t="inlineStr">
        <is>
          <t>Utrekna</t>
        </is>
      </c>
      <c r="C110" s="39">
        <f>ROUND(IF((C7)=0,0,(C71)/(C7)),0)</f>
        <v/>
      </c>
      <c r="D110" s="28" t="inlineStr">
        <is>
          <t>kr</t>
        </is>
      </c>
      <c r="E110" s="29" t="inlineStr">
        <is>
          <t>Endra DB pr vf. sau grunna prisendring på dyr = AVRUND(Endring i buskapsverdi grunna prisendring [C71] ÷ Tal vinterfôra sau [C7]; 0)   (Positivt tal = auka DB fordi verdien pr dyr har gått opp)</t>
        </is>
      </c>
      <c r="F110"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kostnader'!C73</f>
        <v/>
      </c>
      <c r="D44" s="12" t="inlineStr">
        <is>
          <t>kr</t>
        </is>
      </c>
      <c r="E44" s="23" t="inlineStr">
        <is>
          <t>Innandørsmekanisering fordelt = Innandørsmekanisering – Geit [Faste kostnader!C73]</t>
        </is>
      </c>
      <c r="F44" s="24" t="inlineStr">
        <is>
          <t>='Faste kostnader'!C73</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IF(('Grovfôr'!C21*IF(('Grovfôr'!C38)=0,0,(C49)/('Grovfôr'!C38)))=0,0,(C52)/('Grovfôr'!C21*IF(('Grovfôr'!C38)=0,0,(C49)/('Grovfôr'!C38))))</f>
        <v/>
      </c>
      <c r="D85" s="28" t="inlineStr">
        <is>
          <t>kr</t>
        </is>
      </c>
      <c r="E85" s="29" t="inlineStr">
        <is>
          <t>DB pr dekar grovfôr u/tilskot = Dekningsbidrag (DB) utan tilskot [C52] ÷ (Korrigert grovfôrareal (overflate/1,25 + fulldyrka + kulturbeite/2,5) [Grovfôr!C21] × Sum eigen grovfôrproduksjon (utan lagerendring) [C49] ÷ Sum eigen grovfôrkostnad (fordelingsnøkkel areal) [Grovfôr!C38])   (Grovfôrarealet blir fordelt etter produksjonen sin del av eigen grovfôrkostnad)</t>
        </is>
      </c>
      <c r="F85" s="30" t="inlineStr">
        <is>
          <t>=IF(('Grovfôr'!C21*IF(('Grovfôr'!C38)=0,0,(C49)/('Grovfôr'!C38)))=0,0,(C52)/('Grovfôr'!C21*IF(('Grovfôr'!C38)=0,0,(C49)/('Grovfôr'!C38))))</t>
        </is>
      </c>
    </row>
    <row r="86">
      <c r="A86" s="25" t="inlineStr">
        <is>
          <t>DB pr dekar grovfôr m/tilskot</t>
        </is>
      </c>
      <c r="B86" s="26" t="inlineStr">
        <is>
          <t>Utrekna</t>
        </is>
      </c>
      <c r="C86" s="39">
        <f>IF(('Grovfôr'!C21*IF(('Grovfôr'!C38)=0,0,(C49)/('Grovfôr'!C38)))=0,0,(C53)/('Grovfôr'!C21*IF(('Grovfôr'!C38)=0,0,(C49)/('Grovfôr'!C38))))</f>
        <v/>
      </c>
      <c r="D86" s="28" t="inlineStr">
        <is>
          <t>kr</t>
        </is>
      </c>
      <c r="E86" s="29" t="inlineStr">
        <is>
          <t>DB pr dekar grovfôr m/tilskot = Dekningsbidrag (DB) med tilskot [C53] ÷ (Korrigert grovfôrareal (overflate/1,25 + fulldyrka + kulturbeite/2,5) [Grovfôr!C21] × Sum eigen grovfôrproduksjon (utan lagerendring) [C49] ÷ Sum eigen grovfôrkostnad (fordelingsnøkkel areal) [Grovfôr!C38])</t>
        </is>
      </c>
      <c r="F86" s="30" t="inlineStr">
        <is>
          <t>=IF(('Grovfôr'!C21*IF(('Grovfôr'!C38)=0,0,(C49)/('Grovfôr'!C38)))=0,0,(C53)/('Grovfôr'!C21*IF(('Grovfôr'!C38)=0,0,(C49)/('Grovfôr'!C38))))</t>
        </is>
      </c>
    </row>
    <row r="87">
      <c r="A87" s="25" t="inlineStr">
        <is>
          <t>Variabel grovfôrkostnad pr dekar</t>
        </is>
      </c>
      <c r="B87" s="26" t="inlineStr">
        <is>
          <t>Lenkje frå anna ark</t>
        </is>
      </c>
      <c r="C87" s="40">
        <f>'Grovfôr'!C52</f>
        <v/>
      </c>
      <c r="D87" s="28" t="inlineStr">
        <is>
          <t>kr</t>
        </is>
      </c>
      <c r="E87" s="29" t="inlineStr">
        <is>
          <t>Variabel grovfôrkostnad pr dekar = Variabel grovfôrkostnad pr korrigert dekar [Grovfôr!C52]</t>
        </is>
      </c>
      <c r="F87" s="30" t="inlineStr">
        <is>
          <t>='Grovfôr'!C52</t>
        </is>
      </c>
    </row>
    <row r="88">
      <c r="A88" s="25" t="inlineStr">
        <is>
          <t>Maskinkostnader pr dekar grovfôr</t>
        </is>
      </c>
      <c r="B88" s="26" t="inlineStr">
        <is>
          <t>Lenkje frå anna ark</t>
        </is>
      </c>
      <c r="C88" s="40">
        <f>'Grovfôr'!C53</f>
        <v/>
      </c>
      <c r="D88" s="28" t="inlineStr">
        <is>
          <t>kr</t>
        </is>
      </c>
      <c r="E88" s="29" t="inlineStr">
        <is>
          <t>Maskinkostnader pr dekar grovfôr = Maskinkostnader pr dekar grovfôr [Grovfôr!C53]</t>
        </is>
      </c>
      <c r="F88" s="30" t="inlineStr">
        <is>
          <t>='Grovfôr'!C53</t>
        </is>
      </c>
    </row>
    <row r="89">
      <c r="A89" s="25" t="inlineStr">
        <is>
          <t>Korrigerte dekar pr «kueining»</t>
        </is>
      </c>
      <c r="B89" s="26" t="inlineStr">
        <is>
          <t>Lenkje frå anna ark</t>
        </is>
      </c>
      <c r="C89" s="40">
        <f>'Grovfôr'!C54</f>
        <v/>
      </c>
      <c r="D89" s="28" t="inlineStr">
        <is>
          <t>da</t>
        </is>
      </c>
      <c r="E89" s="29" t="inlineStr">
        <is>
          <t>Korrigerte dekar pr «kueining» = Korrigerte dekar pr «kueining» [Grovfôr!C54]</t>
        </is>
      </c>
      <c r="F89" s="30" t="inlineStr">
        <is>
          <t>='Grovfôr'!C54</t>
        </is>
      </c>
    </row>
    <row r="90">
      <c r="A90" s="25" t="inlineStr">
        <is>
          <t>Oppnådd mjølkepris pr liter (u/distriktstilskot)</t>
        </is>
      </c>
      <c r="B90" s="26" t="inlineStr">
        <is>
          <t>Utrekna</t>
        </is>
      </c>
      <c r="C90" s="39">
        <f>IF((C8)=0,0,(C19-C24)/(C8))</f>
        <v/>
      </c>
      <c r="D90" s="28" t="inlineStr">
        <is>
          <t>kr</t>
        </is>
      </c>
      <c r="E90" s="29" t="inlineStr">
        <is>
          <t>Oppnådd mjølkepris pr liter (u/distriktstilskot) = (Mjølk [C19] − Herav distriktstilskot mjølk [C24]) ÷ Levert mjølk [C8]</t>
        </is>
      </c>
      <c r="F90" s="30" t="inlineStr">
        <is>
          <t>=IF((C8)=0,0,(C19-C24)/(C8))</t>
        </is>
      </c>
    </row>
    <row r="91">
      <c r="A91" s="25" t="inlineStr">
        <is>
          <t>Maskinkostnader pr liter</t>
        </is>
      </c>
      <c r="B91" s="26" t="inlineStr">
        <is>
          <t>Utrekna</t>
        </is>
      </c>
      <c r="C91" s="39">
        <f>IF((C8)=0,0,(C43)/(C8))</f>
        <v/>
      </c>
      <c r="D91" s="28" t="inlineStr">
        <is>
          <t>kr</t>
        </is>
      </c>
      <c r="E91" s="29" t="inlineStr">
        <is>
          <t>Maskinkostnader pr liter = Maskinkostnader fordelt [C43] ÷ Levert mjølk [C8]</t>
        </is>
      </c>
      <c r="F91" s="30" t="inlineStr">
        <is>
          <t>=IF((C8)=0,0,(C43)/(C8))</t>
        </is>
      </c>
    </row>
    <row r="92">
      <c r="A92" s="25" t="inlineStr">
        <is>
          <t>Innandørsmekanisering pr liter</t>
        </is>
      </c>
      <c r="B92" s="26" t="inlineStr">
        <is>
          <t>Utrekna</t>
        </is>
      </c>
      <c r="C92" s="39">
        <f>IF((C8)=0,0,(C44)/(C8))</f>
        <v/>
      </c>
      <c r="D92" s="28" t="inlineStr">
        <is>
          <t>kr</t>
        </is>
      </c>
      <c r="E92" s="29" t="inlineStr">
        <is>
          <t>Innandørsmekanisering pr liter = Innandørsmekanisering fordelt [C44] ÷ Levert mjølk [C8]</t>
        </is>
      </c>
      <c r="F92" s="30" t="inlineStr">
        <is>
          <t>=IF((C8)=0,0,(C44)/(C8))</t>
        </is>
      </c>
    </row>
    <row r="93">
      <c r="A93" s="25" t="inlineStr">
        <is>
          <t>Innandørsmekanisering pr geit</t>
        </is>
      </c>
      <c r="B93" s="26" t="inlineStr">
        <is>
          <t>Utrekna</t>
        </is>
      </c>
      <c r="C93" s="39">
        <f>IF((C7)=0,0,(C44)/(C7))</f>
        <v/>
      </c>
      <c r="D93" s="28" t="inlineStr">
        <is>
          <t>kr</t>
        </is>
      </c>
      <c r="E93" s="29" t="inlineStr">
        <is>
          <t>Innandørsmekanisering pr geit = Innandørsmekanisering fordelt [C44] ÷ Tal årsgeiter [C7]</t>
        </is>
      </c>
      <c r="F93" s="30" t="inlineStr">
        <is>
          <t>=IF((C7)=0,0,(C44)/(C7))</t>
        </is>
      </c>
    </row>
    <row r="94">
      <c r="A94" s="25" t="inlineStr">
        <is>
          <t>Levert mjølk pr geit (liter)</t>
        </is>
      </c>
      <c r="B94" s="26" t="inlineStr">
        <is>
          <t>Utrekna</t>
        </is>
      </c>
      <c r="C94" s="27">
        <f>IF((C7)=0,0,(C8)/(C7))</f>
        <v/>
      </c>
      <c r="D94" s="28" t="inlineStr">
        <is>
          <t>liter</t>
        </is>
      </c>
      <c r="E94" s="29" t="inlineStr">
        <is>
          <t>Levert mjølk pr geit (liter) = Levert mjølk [C8] ÷ Tal årsgeiter [C7]</t>
        </is>
      </c>
      <c r="F94" s="30" t="inlineStr">
        <is>
          <t>=IF((C7)=0,0,(C8)/(C7))</t>
        </is>
      </c>
    </row>
    <row r="95">
      <c r="A95" s="25" t="inlineStr">
        <is>
          <t>Kvoteoppfylling</t>
        </is>
      </c>
      <c r="B95" s="26" t="inlineStr">
        <is>
          <t>Utrekna</t>
        </is>
      </c>
      <c r="C95" s="33">
        <f>IF((C9)=0,0,(C8)/(C9))</f>
        <v/>
      </c>
      <c r="D95" s="28" t="inlineStr">
        <is>
          <t>%</t>
        </is>
      </c>
      <c r="E95" s="29" t="inlineStr">
        <is>
          <t>Kvoteoppfylling = Levert mjølk [C8] ÷ Disponibel mjølkekvote [C9]</t>
        </is>
      </c>
      <c r="F95"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2026-10-22T08:38:48Z</dcterms:created>
  <dcterms:modified xmlns:dcterms="http://purl.org/dc/terms/" xmlns:xsi="http://www.w3.org/2001/XMLSchema-instance" xsi:type="dcterms:W3CDTF">2026-10-22T08:38:48Z</dcterms:modified>
</cp:coreProperties>
</file>