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Les meg" sheetId="1" state="visible" r:id="rId1"/>
    <sheet xmlns:r="http://schemas.openxmlformats.org/officeDocument/2006/relationships" name="Oversikt" sheetId="2" state="visible" r:id="rId2"/>
    <sheet xmlns:r="http://schemas.openxmlformats.org/officeDocument/2006/relationships" name="Totaløkonomi" sheetId="3" state="visible" r:id="rId3"/>
    <sheet xmlns:r="http://schemas.openxmlformats.org/officeDocument/2006/relationships" name="Faste kostnader" sheetId="4" state="visible" r:id="rId4"/>
    <sheet xmlns:r="http://schemas.openxmlformats.org/officeDocument/2006/relationships" name="Grovfôr" sheetId="5" state="visible" r:id="rId5"/>
    <sheet xmlns:r="http://schemas.openxmlformats.org/officeDocument/2006/relationships" name="Korn" sheetId="6" state="visible" r:id="rId6"/>
    <sheet xmlns:r="http://schemas.openxmlformats.org/officeDocument/2006/relationships" name="Silofor" sheetId="7" state="visible" r:id="rId7"/>
    <sheet xmlns:r="http://schemas.openxmlformats.org/officeDocument/2006/relationships" name="Høy" sheetId="8" state="visible" r:id="rId8"/>
    <sheet xmlns:r="http://schemas.openxmlformats.org/officeDocument/2006/relationships" name="Potet" sheetId="9" state="visible" r:id="rId9"/>
    <sheet xmlns:r="http://schemas.openxmlformats.org/officeDocument/2006/relationships" name="Agurk" sheetId="10" state="visible" r:id="rId10"/>
    <sheet xmlns:r="http://schemas.openxmlformats.org/officeDocument/2006/relationships" name="Tomat" sheetId="11" state="visible" r:id="rId11"/>
    <sheet xmlns:r="http://schemas.openxmlformats.org/officeDocument/2006/relationships" name="Frilandsgrønsak" sheetId="12" state="visible" r:id="rId12"/>
    <sheet xmlns:r="http://schemas.openxmlformats.org/officeDocument/2006/relationships" name="Gulrot" sheetId="13" state="visible" r:id="rId13"/>
    <sheet xmlns:r="http://schemas.openxmlformats.org/officeDocument/2006/relationships" name="Kålrot" sheetId="14" state="visible" r:id="rId14"/>
    <sheet xmlns:r="http://schemas.openxmlformats.org/officeDocument/2006/relationships" name="Mjølk" sheetId="15" state="visible" r:id="rId15"/>
    <sheet xmlns:r="http://schemas.openxmlformats.org/officeDocument/2006/relationships" name="Oksar" sheetId="16" state="visible" r:id="rId16"/>
    <sheet xmlns:r="http://schemas.openxmlformats.org/officeDocument/2006/relationships" name="Mellomkalv" sheetId="17" state="visible" r:id="rId17"/>
    <sheet xmlns:r="http://schemas.openxmlformats.org/officeDocument/2006/relationships" name="Ammekyr" sheetId="18" state="visible" r:id="rId18"/>
    <sheet xmlns:r="http://schemas.openxmlformats.org/officeDocument/2006/relationships" name="Smågris" sheetId="19" state="visible" r:id="rId19"/>
    <sheet xmlns:r="http://schemas.openxmlformats.org/officeDocument/2006/relationships" name="Purkering" sheetId="20" state="visible" r:id="rId20"/>
    <sheet xmlns:r="http://schemas.openxmlformats.org/officeDocument/2006/relationships" name="Slaktegris" sheetId="21" state="visible" r:id="rId21"/>
    <sheet xmlns:r="http://schemas.openxmlformats.org/officeDocument/2006/relationships" name="Sau" sheetId="22" state="visible" r:id="rId22"/>
    <sheet xmlns:r="http://schemas.openxmlformats.org/officeDocument/2006/relationships" name="Geit" sheetId="23" state="visible" r:id="rId23"/>
    <sheet xmlns:r="http://schemas.openxmlformats.org/officeDocument/2006/relationships" name="Egg" sheetId="24" state="visible" r:id="rId24"/>
    <sheet xmlns:r="http://schemas.openxmlformats.org/officeDocument/2006/relationships" name="Slaktekylling" sheetId="25" state="visible" r:id="rId25"/>
    <sheet xmlns:r="http://schemas.openxmlformats.org/officeDocument/2006/relationships" name="Kontokopling" sheetId="26" state="visible" r:id="rId26"/>
  </sheets>
  <definedNames>
    <definedName name="_xlnm.Print_Titles" localSheetId="2">'Totaløkonomi'!$5:$5</definedName>
    <definedName name="_xlnm.Print_Titles" localSheetId="3">'Faste kostnader'!$5:$5</definedName>
    <definedName name="_xlnm.Print_Titles" localSheetId="4">'Grovfôr'!$5:$5</definedName>
    <definedName name="_xlnm.Print_Titles" localSheetId="5">'Korn'!$5:$5</definedName>
    <definedName name="_xlnm.Print_Titles" localSheetId="6">'Silofor'!$5:$5</definedName>
    <definedName name="_xlnm.Print_Titles" localSheetId="7">'Høy'!$5:$5</definedName>
    <definedName name="_xlnm.Print_Titles" localSheetId="8">'Potet'!$5:$5</definedName>
    <definedName name="_xlnm.Print_Titles" localSheetId="9">'Agurk'!$5:$5</definedName>
    <definedName name="_xlnm.Print_Titles" localSheetId="10">'Tomat'!$5:$5</definedName>
    <definedName name="_xlnm.Print_Titles" localSheetId="11">'Frilandsgrønsak'!$5:$5</definedName>
    <definedName name="_xlnm.Print_Titles" localSheetId="12">'Gulrot'!$5:$5</definedName>
    <definedName name="_xlnm.Print_Titles" localSheetId="13">'Kålrot'!$5:$5</definedName>
    <definedName name="_xlnm.Print_Titles" localSheetId="14">'Mjølk'!$5:$5</definedName>
    <definedName name="_xlnm.Print_Titles" localSheetId="15">'Oksar'!$5:$5</definedName>
    <definedName name="_xlnm.Print_Titles" localSheetId="16">'Mellomkalv'!$5:$5</definedName>
    <definedName name="_xlnm.Print_Titles" localSheetId="17">'Ammekyr'!$5:$5</definedName>
    <definedName name="_xlnm.Print_Titles" localSheetId="18">'Smågris'!$5:$5</definedName>
    <definedName name="_xlnm.Print_Titles" localSheetId="19">'Purkering'!$5:$5</definedName>
    <definedName name="_xlnm.Print_Titles" localSheetId="20">'Slaktegris'!$5:$5</definedName>
    <definedName name="_xlnm.Print_Titles" localSheetId="21">'Sau'!$5:$5</definedName>
    <definedName name="_xlnm.Print_Titles" localSheetId="22">'Geit'!$5:$5</definedName>
    <definedName name="_xlnm.Print_Titles" localSheetId="23">'Egg'!$5:$5</definedName>
    <definedName name="_xlnm.Print_Titles" localSheetId="24">'Slaktekylling'!$5:$5</definedName>
  </definedNames>
  <calcPr calcId="124519" fullCalcOnLoad="1"/>
</workbook>
</file>

<file path=xl/styles.xml><?xml version="1.0" encoding="utf-8"?>
<styleSheet xmlns="http://schemas.openxmlformats.org/spreadsheetml/2006/main">
  <numFmts count="4">
    <numFmt numFmtId="164" formatCode="#,##0;(#,##0);&quot;-&quot;"/>
    <numFmt numFmtId="165" formatCode="#,##0.00;(#,##0.00);&quot;-&quot;"/>
    <numFmt numFmtId="166" formatCode="0.0%;(0.0%);&quot;-&quot;"/>
    <numFmt numFmtId="167" formatCode="#,##0.0;(#,##0.0);&quot;-&quot;"/>
  </numFmts>
  <fonts count="13">
    <font>
      <name val="Calibri"/>
      <family val="2"/>
      <color theme="1"/>
      <sz val="11"/>
      <scheme val="minor"/>
    </font>
    <font>
      <name val="Arial"/>
      <b val="1"/>
      <color rgb="001F3B2D"/>
      <sz val="15"/>
    </font>
    <font>
      <name val="Arial"/>
      <b val="1"/>
      <sz val="10"/>
    </font>
    <font>
      <name val="Arial"/>
      <color rgb="00000000"/>
      <sz val="10"/>
    </font>
    <font>
      <name val="Arial"/>
      <b val="1"/>
      <color rgb="001F3B2D"/>
      <sz val="10"/>
    </font>
    <font>
      <name val="Arial"/>
      <color rgb="000563C1"/>
      <sz val="10"/>
      <u val="single"/>
    </font>
    <font>
      <name val="Arial"/>
      <color rgb="00404040"/>
      <sz val="10"/>
    </font>
    <font>
      <name val="Arial"/>
      <i val="1"/>
      <color rgb="00595959"/>
      <sz val="9"/>
    </font>
    <font>
      <name val="Arial"/>
      <b val="1"/>
      <color rgb="00FFFFFF"/>
      <sz val="10"/>
    </font>
    <font>
      <name val="Arial"/>
      <color rgb="000000FF"/>
      <sz val="10"/>
    </font>
    <font>
      <name val="Arial"/>
      <color rgb="00008000"/>
      <sz val="10"/>
    </font>
    <font>
      <name val="Arial"/>
      <b val="1"/>
      <color rgb="00000000"/>
      <sz val="10"/>
    </font>
    <font>
      <name val="Arial"/>
      <b val="1"/>
      <color rgb="00008000"/>
      <sz val="10"/>
    </font>
  </fonts>
  <fills count="6">
    <fill>
      <patternFill/>
    </fill>
    <fill>
      <patternFill patternType="gray125"/>
    </fill>
    <fill>
      <patternFill patternType="solid">
        <fgColor rgb="002E5E45"/>
      </patternFill>
    </fill>
    <fill>
      <patternFill patternType="solid">
        <fgColor rgb="00FFFF99"/>
      </patternFill>
    </fill>
    <fill>
      <patternFill patternType="solid">
        <fgColor rgb="00F3F7F4"/>
      </patternFill>
    </fill>
    <fill>
      <patternFill patternType="solid">
        <fgColor rgb="00DCEADF"/>
      </patternFill>
    </fill>
  </fills>
  <borders count="2">
    <border>
      <left/>
      <right/>
      <top/>
      <bottom/>
      <diagonal/>
    </border>
    <border>
      <bottom style="thin">
        <color rgb="00C8D3CB"/>
      </bottom>
    </border>
  </borders>
  <cellStyleXfs count="1">
    <xf numFmtId="0" fontId="0" fillId="0" borderId="0"/>
  </cellStyleXfs>
  <cellXfs count="4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3" fillId="0" borderId="0" pivotButton="0" quotePrefix="0" xfId="0"/>
    <xf numFmtId="0" fontId="6" fillId="0" borderId="0" pivotButton="0" quotePrefix="0" xfId="0"/>
    <xf numFmtId="0" fontId="7" fillId="0" borderId="0" pivotButton="0" quotePrefix="0" xfId="0"/>
    <xf numFmtId="0" fontId="8" fillId="2" borderId="0" applyAlignment="1" pivotButton="0" quotePrefix="0" xfId="0">
      <alignment vertical="center" wrapText="1"/>
    </xf>
    <xf numFmtId="0" fontId="5" fillId="0" borderId="1" pivotButton="0" quotePrefix="0" xfId="0"/>
    <xf numFmtId="0" fontId="9" fillId="3" borderId="1" applyAlignment="1" pivotButton="0" quotePrefix="0" xfId="0">
      <alignment horizontal="center"/>
    </xf>
    <xf numFmtId="0" fontId="3" fillId="0" borderId="1" pivotButton="0" quotePrefix="0" xfId="0"/>
    <xf numFmtId="164" fontId="10" fillId="0" borderId="1" pivotButton="0" quotePrefix="0" xfId="0"/>
    <xf numFmtId="165" fontId="10" fillId="0" borderId="1" pivotButton="0" quotePrefix="0" xfId="0"/>
    <xf numFmtId="164" fontId="2" fillId="4" borderId="0" pivotButton="0" quotePrefix="0" xfId="0"/>
    <xf numFmtId="164" fontId="3" fillId="0" borderId="0" pivotButton="0" quotePrefix="0" xfId="0"/>
    <xf numFmtId="0" fontId="8" fillId="2" borderId="0" applyAlignment="1" pivotButton="0" quotePrefix="0" xfId="0">
      <alignment vertical="center"/>
    </xf>
    <xf numFmtId="0" fontId="4" fillId="5" borderId="0" pivotButton="0" quotePrefix="0" xfId="0"/>
    <xf numFmtId="0" fontId="0" fillId="5" borderId="0" pivotButton="0" quotePrefix="0" xfId="0"/>
    <xf numFmtId="0" fontId="3" fillId="0" borderId="1" applyAlignment="1" pivotButton="0" quotePrefix="0" xfId="0">
      <alignment vertical="top"/>
    </xf>
    <xf numFmtId="0" fontId="7" fillId="0" borderId="1" pivotButton="0" quotePrefix="0" xfId="0"/>
    <xf numFmtId="164" fontId="3" fillId="0" borderId="1" pivotButton="0" quotePrefix="0" xfId="0"/>
    <xf numFmtId="0" fontId="3" fillId="0" borderId="1" applyAlignment="1" pivotButton="0" quotePrefix="0" xfId="0">
      <alignment vertical="top" wrapText="1"/>
    </xf>
    <xf numFmtId="0" fontId="7" fillId="0" borderId="1" applyAlignment="1" pivotButton="0" quotePrefix="0" xfId="0">
      <alignment vertical="top" wrapText="1"/>
    </xf>
    <xf numFmtId="0" fontId="2" fillId="4" borderId="1" applyAlignment="1" pivotButton="0" quotePrefix="0" xfId="0">
      <alignment vertical="top"/>
    </xf>
    <xf numFmtId="0" fontId="7" fillId="4" borderId="1" pivotButton="0" quotePrefix="0" xfId="0"/>
    <xf numFmtId="164" fontId="11" fillId="4" borderId="1" pivotButton="0" quotePrefix="0" xfId="0"/>
    <xf numFmtId="0" fontId="3" fillId="4" borderId="1" pivotButton="0" quotePrefix="0" xfId="0"/>
    <xf numFmtId="0" fontId="3" fillId="4" borderId="1" applyAlignment="1" pivotButton="0" quotePrefix="0" xfId="0">
      <alignment vertical="top" wrapText="1"/>
    </xf>
    <xf numFmtId="0" fontId="7" fillId="4" borderId="1" applyAlignment="1" pivotButton="0" quotePrefix="0" xfId="0">
      <alignment vertical="top" wrapText="1"/>
    </xf>
    <xf numFmtId="164" fontId="9" fillId="3" borderId="1" pivotButton="0" quotePrefix="0" xfId="0"/>
    <xf numFmtId="0" fontId="0" fillId="0" borderId="1" pivotButton="0" quotePrefix="0" xfId="0"/>
    <xf numFmtId="166" fontId="11" fillId="4" borderId="1" pivotButton="0" quotePrefix="0" xfId="0"/>
    <xf numFmtId="166" fontId="9" fillId="3" borderId="1" pivotButton="0" quotePrefix="0" xfId="0"/>
    <xf numFmtId="166" fontId="3" fillId="0" borderId="1" pivotButton="0" quotePrefix="0" xfId="0"/>
    <xf numFmtId="167" fontId="3" fillId="0" borderId="1" pivotButton="0" quotePrefix="0" xfId="0"/>
    <xf numFmtId="167" fontId="11" fillId="4" borderId="1" pivotButton="0" quotePrefix="0" xfId="0"/>
    <xf numFmtId="165" fontId="3" fillId="0" borderId="1" pivotButton="0" quotePrefix="0" xfId="0"/>
    <xf numFmtId="165" fontId="11" fillId="4" borderId="1" pivotButton="0" quotePrefix="0" xfId="0"/>
    <xf numFmtId="165" fontId="12" fillId="4" borderId="1" pivotButton="0" quotePrefix="0" xfId="0"/>
    <xf numFmtId="49" fontId="11" fillId="4" borderId="1" pivotButton="0" quotePrefix="0" xfId="0"/>
    <xf numFmtId="165" fontId="9" fillId="3" borderId="1" pivotButton="0" quotePrefix="0" xfId="0"/>
    <xf numFmtId="0" fontId="8" fillId="2" borderId="0" pivotButton="0" quotePrefix="0" xfId="0"/>
    <xf numFmtId="0" fontId="9" fillId="0" borderId="1" pivotButton="0" quotePrefix="0" xfId="0"/>
    <xf numFmtId="0" fontId="9" fillId="0" borderId="0" pivotButton="0" quotePrefix="0" xfId="0"/>
    <xf numFmtId="0" fontId="9"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aste kostnader'!A1" TargetMode="External" Id="rId1"/><Relationship Type="http://schemas.openxmlformats.org/officeDocument/2006/relationships/hyperlink" Target="#'Grovf&#244;r'!A1" TargetMode="External" Id="rId2"/><Relationship Type="http://schemas.openxmlformats.org/officeDocument/2006/relationships/hyperlink" Target="#'Total&#248;konomi'!A1" TargetMode="External" Id="rId3"/><Relationship Type="http://schemas.openxmlformats.org/officeDocument/2006/relationships/hyperlink" Target="#'Korn'!A1" TargetMode="External" Id="rId4"/><Relationship Type="http://schemas.openxmlformats.org/officeDocument/2006/relationships/hyperlink" Target="#'Silofor'!A1" TargetMode="External" Id="rId5"/><Relationship Type="http://schemas.openxmlformats.org/officeDocument/2006/relationships/hyperlink" Target="#'H&#248;y'!A1" TargetMode="External" Id="rId6"/><Relationship Type="http://schemas.openxmlformats.org/officeDocument/2006/relationships/hyperlink" Target="#'Potet'!A1" TargetMode="External" Id="rId7"/><Relationship Type="http://schemas.openxmlformats.org/officeDocument/2006/relationships/hyperlink" Target="#'Agurk'!A1" TargetMode="External" Id="rId8"/><Relationship Type="http://schemas.openxmlformats.org/officeDocument/2006/relationships/hyperlink" Target="#'Tomat'!A1" TargetMode="External" Id="rId9"/><Relationship Type="http://schemas.openxmlformats.org/officeDocument/2006/relationships/hyperlink" Target="#'Frilandsgr&#248;nsak'!A1" TargetMode="External" Id="rId10"/><Relationship Type="http://schemas.openxmlformats.org/officeDocument/2006/relationships/hyperlink" Target="#'Gulrot'!A1" TargetMode="External" Id="rId11"/><Relationship Type="http://schemas.openxmlformats.org/officeDocument/2006/relationships/hyperlink" Target="#'K&#229;lrot'!A1" TargetMode="External" Id="rId12"/><Relationship Type="http://schemas.openxmlformats.org/officeDocument/2006/relationships/hyperlink" Target="#'Mj&#248;lk'!A1" TargetMode="External" Id="rId13"/><Relationship Type="http://schemas.openxmlformats.org/officeDocument/2006/relationships/hyperlink" Target="#'Oksar'!A1" TargetMode="External" Id="rId14"/><Relationship Type="http://schemas.openxmlformats.org/officeDocument/2006/relationships/hyperlink" Target="#'Mellomkalv'!A1" TargetMode="External" Id="rId15"/><Relationship Type="http://schemas.openxmlformats.org/officeDocument/2006/relationships/hyperlink" Target="#'Ammekyr'!A1" TargetMode="External" Id="rId16"/><Relationship Type="http://schemas.openxmlformats.org/officeDocument/2006/relationships/hyperlink" Target="#'Sm&#229;gris'!A1" TargetMode="External" Id="rId17"/><Relationship Type="http://schemas.openxmlformats.org/officeDocument/2006/relationships/hyperlink" Target="#'Purkering'!A1" TargetMode="External" Id="rId18"/><Relationship Type="http://schemas.openxmlformats.org/officeDocument/2006/relationships/hyperlink" Target="#'Slaktegris'!A1" TargetMode="External" Id="rId19"/><Relationship Type="http://schemas.openxmlformats.org/officeDocument/2006/relationships/hyperlink" Target="#'Sau'!A1" TargetMode="External" Id="rId20"/><Relationship Type="http://schemas.openxmlformats.org/officeDocument/2006/relationships/hyperlink" Target="#'Geit'!A1" TargetMode="External" Id="rId21"/><Relationship Type="http://schemas.openxmlformats.org/officeDocument/2006/relationships/hyperlink" Target="#'Egg'!A1" TargetMode="External" Id="rId22"/><Relationship Type="http://schemas.openxmlformats.org/officeDocument/2006/relationships/hyperlink" Target="#'Slaktekylling'!A1" TargetMode="External" Id="rId23"/></Relationships>
</file>

<file path=xl/worksheets/_rels/sheet2.xml.rels><Relationships xmlns="http://schemas.openxmlformats.org/package/2006/relationships"><Relationship Type="http://schemas.openxmlformats.org/officeDocument/2006/relationships/hyperlink" Target="#'Korn'!A1" TargetMode="External" Id="rId1"/><Relationship Type="http://schemas.openxmlformats.org/officeDocument/2006/relationships/hyperlink" Target="#'Silofor'!A1" TargetMode="External" Id="rId2"/><Relationship Type="http://schemas.openxmlformats.org/officeDocument/2006/relationships/hyperlink" Target="#'H&#248;y'!A1" TargetMode="External" Id="rId3"/><Relationship Type="http://schemas.openxmlformats.org/officeDocument/2006/relationships/hyperlink" Target="#'Potet'!A1" TargetMode="External" Id="rId4"/><Relationship Type="http://schemas.openxmlformats.org/officeDocument/2006/relationships/hyperlink" Target="#'Agurk'!A1" TargetMode="External" Id="rId5"/><Relationship Type="http://schemas.openxmlformats.org/officeDocument/2006/relationships/hyperlink" Target="#'Tomat'!A1" TargetMode="External" Id="rId6"/><Relationship Type="http://schemas.openxmlformats.org/officeDocument/2006/relationships/hyperlink" Target="#'Frilandsgr&#248;nsak'!A1" TargetMode="External" Id="rId7"/><Relationship Type="http://schemas.openxmlformats.org/officeDocument/2006/relationships/hyperlink" Target="#'Gulrot'!A1" TargetMode="External" Id="rId8"/><Relationship Type="http://schemas.openxmlformats.org/officeDocument/2006/relationships/hyperlink" Target="#'K&#229;lrot'!A1" TargetMode="External" Id="rId9"/><Relationship Type="http://schemas.openxmlformats.org/officeDocument/2006/relationships/hyperlink" Target="#'Mj&#248;lk'!A1" TargetMode="External" Id="rId10"/><Relationship Type="http://schemas.openxmlformats.org/officeDocument/2006/relationships/hyperlink" Target="#'Oksar'!A1" TargetMode="External" Id="rId11"/><Relationship Type="http://schemas.openxmlformats.org/officeDocument/2006/relationships/hyperlink" Target="#'Mellomkalv'!A1" TargetMode="External" Id="rId12"/><Relationship Type="http://schemas.openxmlformats.org/officeDocument/2006/relationships/hyperlink" Target="#'Ammekyr'!A1" TargetMode="External" Id="rId13"/><Relationship Type="http://schemas.openxmlformats.org/officeDocument/2006/relationships/hyperlink" Target="#'Sm&#229;gris'!A1" TargetMode="External" Id="rId14"/><Relationship Type="http://schemas.openxmlformats.org/officeDocument/2006/relationships/hyperlink" Target="#'Purkering'!A1" TargetMode="External" Id="rId15"/><Relationship Type="http://schemas.openxmlformats.org/officeDocument/2006/relationships/hyperlink" Target="#'Slaktegris'!A1" TargetMode="External" Id="rId16"/><Relationship Type="http://schemas.openxmlformats.org/officeDocument/2006/relationships/hyperlink" Target="#'Sau'!A1" TargetMode="External" Id="rId17"/><Relationship Type="http://schemas.openxmlformats.org/officeDocument/2006/relationships/hyperlink" Target="#'Geit'!A1" TargetMode="External" Id="rId18"/><Relationship Type="http://schemas.openxmlformats.org/officeDocument/2006/relationships/hyperlink" Target="#'Egg'!A1" TargetMode="External" Id="rId19"/><Relationship Type="http://schemas.openxmlformats.org/officeDocument/2006/relationships/hyperlink" Target="#'Slaktekylling'!A1" TargetMode="External" Id="rId20"/></Relationships>
</file>

<file path=xl/worksheets/sheet1.xml><?xml version="1.0" encoding="utf-8"?>
<worksheet xmlns="http://schemas.openxmlformats.org/spreadsheetml/2006/main">
  <sheetPr>
    <outlinePr summaryBelow="1" summaryRight="1"/>
    <pageSetUpPr/>
  </sheetPr>
  <dimension ref="B1:C46"/>
  <sheetViews>
    <sheetView showGridLines="0" workbookViewId="0">
      <selection activeCell="A1" sqref="A1"/>
    </sheetView>
  </sheetViews>
  <sheetFormatPr baseColWidth="8" defaultRowHeight="15"/>
  <cols>
    <col width="4" customWidth="1" min="1" max="1"/>
    <col width="34" customWidth="1" min="2" max="2"/>
    <col width="110" customWidth="1" min="3" max="3"/>
  </cols>
  <sheetData>
    <row r="1">
      <c r="B1" s="1" t="inlineStr">
        <is>
          <t>Nøkkeltalsanalyse jordbruk – produksjonsvis oppsett</t>
        </is>
      </c>
    </row>
    <row r="3" ht="60" customHeight="1">
      <c r="B3" s="2" t="inlineStr">
        <is>
          <t>Føremål</t>
        </is>
      </c>
      <c r="C3" s="3" t="inlineStr">
        <is>
          <t>Arbeidsboka deler jordbruksanalysen opp i éin fane per produksjon (korn, silofôr, høy, potet, agurk, tomat, frilandsgrønsaker, gulrot, kålrot, mjølk, oksar, mellomkalv, ammekyr, smågris, purkering, slaktegris, sau, geit, egg og slaktekylling) pluss fellesark for grovfôr, faste kostnader og totaløkonomi. Oppsettet byggjer på den vedlagde analysen «Analyse 2025» (Duett-import) og kontoplanen frå Tripletex.</t>
        </is>
      </c>
    </row>
    <row r="5" ht="45" customHeight="1">
      <c r="B5" s="2" t="inlineStr">
        <is>
          <t>Oppbygging av kvar fane</t>
        </is>
      </c>
      <c r="C5" s="3" t="inlineStr">
        <is>
          <t>1. INPUT – produksjonsdata  →  2. INPUT – rekneskapstal (kr)  →  3. fordelte faste kostnader (lenkje)  →  4. UTREKNING totalt  →  5. OUTPUT per eining  →  6. OUTPUT nøkkeltal. Kolonne E forklarar kvar formel i ord med cellereferansar, kolonne F viser sjølve Excel-formelen.</t>
        </is>
      </c>
    </row>
    <row r="7" ht="15" customHeight="1">
      <c r="B7" s="2" t="inlineStr">
        <is>
          <t>Fargekodar</t>
        </is>
      </c>
      <c r="C7" s="3" t="inlineStr">
        <is>
          <t>Blå tal på gul botn = input som skal fyllast inn. Svart = formel. Grøn = lenkje frå eit anna ark. Nøkkeltal er utheva.</t>
        </is>
      </c>
    </row>
    <row r="9" ht="30" customHeight="1">
      <c r="B9" s="2" t="inlineStr">
        <is>
          <t>Forteikn</t>
        </is>
      </c>
      <c r="C9" s="3" t="inlineStr">
        <is>
          <t>Alle inntekter og kostnader blir lagt inn som positive kronebeløp. Beholdningsendring buskap/ferdigvarer: + = auke i lager (inntekt). «Endring eigenprodusert grovfôr» følgjer kostnadsforteikn: + = nedgang i lager (kostnad).</t>
        </is>
      </c>
    </row>
    <row r="11" ht="60" customHeight="1">
      <c r="B11" s="2" t="inlineStr">
        <is>
          <t>Med i totalen</t>
        </is>
      </c>
      <c r="C11" s="3" t="inlineStr">
        <is>
          <t>På fana «Oversikt» set du J/N for kvar produksjon. Berre produksjonar med J blir tekne med i Grovfôr og Totaløkonomi. Eksempeltala for silofôr, ammekyr og sau, grovfôrareal og faste kostnader er henta frå vedlagt analyse 2025, så nøkkeltala kan kontrollerast mot den (t.d. DB pr vf. sau u/tilskot = 315 kr). Dei andre produksjonane har fiktive, realistiske eksempeltal og står som N.</t>
        </is>
      </c>
    </row>
    <row r="13" ht="30" customHeight="1">
      <c r="B13" s="2" t="inlineStr">
        <is>
          <t>Analysegrupper</t>
        </is>
      </c>
      <c r="C13" s="3" t="inlineStr">
        <is>
          <t>Eksempelanalysen har eigne ark for Mjølk &lt;80 % / 80–120 % / &gt;120 % påsett, Ammekyr &lt;50 % / &gt;50 % og Smågris / Gris kombinert. Her ligg dette som nøkkeltalet «Analysegruppe» på kvar fane, rekna ut frå påsett- eller framfôringsprosenten.</t>
        </is>
      </c>
    </row>
    <row r="15" ht="45" customHeight="1">
      <c r="B15" s="2" t="inlineStr">
        <is>
          <t>Grovfôr</t>
        </is>
      </c>
      <c r="C15" s="3" t="inlineStr">
        <is>
          <t>Fana «Grovfôr» reknar korrigert grovfôrareal (overflatedyrka/1,25 + fulldyrka + kulturbeite/2,5), «kueiningar», variabel grovfôrkostnad pr dekar og maskinkostnad pr dekar. DB pr dekar grovfôr på kvar husdyrfane fordeler arealet etter produksjonen sin del av eigen grovfôrkostnad – same metode som eksempelanalysen.</t>
        </is>
      </c>
    </row>
    <row r="17" ht="30" customHeight="1">
      <c r="B17" s="2" t="inlineStr">
        <is>
          <t>Kopling til Tripletex</t>
        </is>
      </c>
      <c r="C17" s="3" t="inlineStr">
        <is>
          <t>Fana «Kontokopling» viser kva Tripletex-kontoar (jordbrukskontoplanen i Tripletex) som blir summert til kvar post, og kva produksjon ein konto høyrer til. Same kopling blir brukt i HTML-appen (app/analyse.html).</t>
        </is>
      </c>
    </row>
    <row r="19" ht="45" customHeight="1">
      <c r="B19" s="2" t="inlineStr">
        <is>
          <t>Kueiningar og vekter</t>
        </is>
      </c>
      <c r="C19" s="3" t="inlineStr">
        <is>
          <t>Vektene for «kueiningar» følgjer eksempelanalysen: mjølk/oksar: kyr = 1, ungdyr over 12 md = 1/4, under 12 md = 1/8; ammekyr: ungdyr over 12 md = 1/3, under 12 md = 1/4; sau: sum dyretal / 6; geit: sum vaksne geiter / 7. Alle snitt av 1.1. og 31.12.</t>
        </is>
      </c>
    </row>
    <row r="21" ht="30" customHeight="1">
      <c r="B21" s="2" t="inlineStr">
        <is>
          <t>Ikkje med</t>
        </is>
      </c>
      <c r="C21" s="3" t="inlineStr">
        <is>
          <t>Marginalanalysane i eksempelfila (Mjølk marginal, Okse marginal, Ammekyr marginal, Marginal sau/geit) krev tilskotssatsar og er ikkje bygde om her.</t>
        </is>
      </c>
    </row>
    <row r="23">
      <c r="B23" s="4" t="inlineStr">
        <is>
          <t>Faner</t>
        </is>
      </c>
    </row>
    <row r="24">
      <c r="B24" s="5" t="inlineStr">
        <is>
          <t>Faste kostnader</t>
        </is>
      </c>
      <c r="C24" s="6" t="inlineStr">
        <is>
          <t>Maskin-, bygnings- og andre faste kostnader. Maskinkostnader og innandørsmekanisering blir fordelt på produksjonane.</t>
        </is>
      </c>
    </row>
    <row r="25">
      <c r="B25" s="5" t="inlineStr">
        <is>
          <t>Grovfôr</t>
        </is>
      </c>
      <c r="C25" s="6" t="inlineStr">
        <is>
          <t>Felles grovfôrgrunnlag for mjølk, oksar, mellomkalv, ammekyr, sau og geit.</t>
        </is>
      </c>
    </row>
    <row r="26">
      <c r="B26" s="5" t="inlineStr">
        <is>
          <t>Totaløkonomi</t>
        </is>
      </c>
      <c r="C26" s="6" t="inlineStr">
        <is>
          <t>Summerer dekningsbidraget frå alle produksjonar som er med, trekkjer frå faste kostnader og avstemmer mot skattemessig resultat.</t>
        </is>
      </c>
    </row>
    <row r="27">
      <c r="B27" s="5" t="inlineStr">
        <is>
          <t>Korn</t>
        </is>
      </c>
      <c r="C27" s="6" t="inlineStr">
        <is>
          <t>Korn til modning (driftsgrein 1100–1190).</t>
        </is>
      </c>
    </row>
    <row r="28">
      <c r="B28" s="5" t="inlineStr">
        <is>
          <t>Silofor</t>
        </is>
      </c>
      <c r="C28" s="6" t="inlineStr">
        <is>
          <t>Areal der graset blir selt som silofôr/rundballar (driftsgrein 1522–1523). Eksempeltal frå vedlagt analyse 2025.</t>
        </is>
      </c>
    </row>
    <row r="29">
      <c r="B29" s="5" t="inlineStr">
        <is>
          <t>Høy</t>
        </is>
      </c>
      <c r="C29" s="6" t="inlineStr">
        <is>
          <t>Areal der graset blir selt som høy (driftsgrein 1510–1513).</t>
        </is>
      </c>
    </row>
    <row r="30">
      <c r="B30" s="5" t="inlineStr">
        <is>
          <t>Potet</t>
        </is>
      </c>
      <c r="C30" s="6" t="inlineStr">
        <is>
          <t>Matpotet og settepotet (driftsgrein 2100–2130).</t>
        </is>
      </c>
    </row>
    <row r="31">
      <c r="B31" s="5" t="inlineStr">
        <is>
          <t>Agurk</t>
        </is>
      </c>
      <c r="C31" s="6" t="inlineStr">
        <is>
          <t>Veksthusagurk (driftsgrein 3300–3330). Nøkkeltal pr m².</t>
        </is>
      </c>
    </row>
    <row r="32">
      <c r="B32" s="5" t="inlineStr">
        <is>
          <t>Tomat</t>
        </is>
      </c>
      <c r="C32" s="6" t="inlineStr">
        <is>
          <t>Veksthustomat (driftsgrein 3400–3490). Nøkkeltal pr m².</t>
        </is>
      </c>
    </row>
    <row r="33">
      <c r="B33" s="5" t="inlineStr">
        <is>
          <t>Frilandsgrønsak</t>
        </is>
      </c>
      <c r="C33" s="6" t="inlineStr">
        <is>
          <t>Frilandsgrønsaker utanom gulrot og kålrot.</t>
        </is>
      </c>
    </row>
    <row r="34">
      <c r="B34" s="5" t="inlineStr">
        <is>
          <t>Gulrot</t>
        </is>
      </c>
      <c r="C34" s="6" t="inlineStr">
        <is>
          <t>Gulrot (driftsgrein 2500–2590).</t>
        </is>
      </c>
    </row>
    <row r="35">
      <c r="B35" s="5" t="inlineStr">
        <is>
          <t>Kålrot</t>
        </is>
      </c>
      <c r="C35" s="6" t="inlineStr">
        <is>
          <t>Kålrot (driftsgrein 2280–2282).</t>
        </is>
      </c>
    </row>
    <row r="36">
      <c r="B36" s="5" t="inlineStr">
        <is>
          <t>Mjølk</t>
        </is>
      </c>
      <c r="C36" s="6" t="inlineStr">
        <is>
          <t>Mjølkeku med påsett (driftsgrein 6110–6113). Analysegruppe etter påsettprosent blir rekna ut automatisk.</t>
        </is>
      </c>
    </row>
    <row r="37">
      <c r="B37" s="5" t="inlineStr">
        <is>
          <t>Oksar</t>
        </is>
      </c>
      <c r="C37" s="6" t="inlineStr">
        <is>
          <t>Oksar/kastratar til slakt (driftsgrein 6120–6123).</t>
        </is>
      </c>
    </row>
    <row r="38">
      <c r="B38" s="5" t="inlineStr">
        <is>
          <t>Mellomkalv</t>
        </is>
      </c>
      <c r="C38" s="6" t="inlineStr">
        <is>
          <t>Mellomkalv (driftsgrein 6124).</t>
        </is>
      </c>
    </row>
    <row r="39">
      <c r="B39" s="5" t="inlineStr">
        <is>
          <t>Ammekyr</t>
        </is>
      </c>
      <c r="C39" s="6" t="inlineStr">
        <is>
          <t>Ammeku med kalv (driftsgrein 6130–6132). Eksempeltal frå vedlagt analyse 2025.</t>
        </is>
      </c>
    </row>
    <row r="40">
      <c r="B40" s="5" t="inlineStr">
        <is>
          <t>Smågris</t>
        </is>
      </c>
      <c r="C40" s="6" t="inlineStr">
        <is>
          <t>Smågris- og kombinert produksjon (driftsgrein 6200–6242, utan 6220).</t>
        </is>
      </c>
    </row>
    <row r="41">
      <c r="B41" s="5" t="inlineStr">
        <is>
          <t>Purkering</t>
        </is>
      </c>
      <c r="C41" s="6" t="inlineStr">
        <is>
          <t>Purkering (driftsgrein 6290). Purkeleige (6480) er ein variabel kostnad i purkeringen, som i eksempelanalysen.</t>
        </is>
      </c>
    </row>
    <row r="42">
      <c r="B42" s="5" t="inlineStr">
        <is>
          <t>Slaktegris</t>
        </is>
      </c>
      <c r="C42" s="6" t="inlineStr">
        <is>
          <t>Slaktegris (driftsgrein 6220).</t>
        </is>
      </c>
    </row>
    <row r="43">
      <c r="B43" s="5" t="inlineStr">
        <is>
          <t>Sau</t>
        </is>
      </c>
      <c r="C43" s="6" t="inlineStr">
        <is>
          <t>Sauehald (driftsgrein 6300–6390). Eksempeltal frå vedlagt analyse 2025.</t>
        </is>
      </c>
    </row>
    <row r="44">
      <c r="B44" s="5" t="inlineStr">
        <is>
          <t>Geit</t>
        </is>
      </c>
      <c r="C44" s="6" t="inlineStr">
        <is>
          <t>Mjølkegeit (driftsgrein 6400–6419).</t>
        </is>
      </c>
    </row>
    <row r="45">
      <c r="B45" s="5" t="inlineStr">
        <is>
          <t>Egg</t>
        </is>
      </c>
      <c r="C45" s="6" t="inlineStr">
        <is>
          <t>Konsumegg (driftsgrein 6530–6532).</t>
        </is>
      </c>
    </row>
    <row r="46">
      <c r="B46" s="5" t="inlineStr">
        <is>
          <t>Slaktekylling</t>
        </is>
      </c>
      <c r="C46" s="6" t="inlineStr">
        <is>
          <t>Slaktekylling (driftsgrein 6510–6511).</t>
        </is>
      </c>
    </row>
  </sheetData>
  <hyperlinks>
    <hyperlink xmlns:r="http://schemas.openxmlformats.org/officeDocument/2006/relationships" ref="B24" r:id="rId1"/>
    <hyperlink xmlns:r="http://schemas.openxmlformats.org/officeDocument/2006/relationships" ref="B25" r:id="rId2"/>
    <hyperlink xmlns:r="http://schemas.openxmlformats.org/officeDocument/2006/relationships" ref="B26" r:id="rId3"/>
    <hyperlink xmlns:r="http://schemas.openxmlformats.org/officeDocument/2006/relationships" ref="B27" r:id="rId4"/>
    <hyperlink xmlns:r="http://schemas.openxmlformats.org/officeDocument/2006/relationships" ref="B28" r:id="rId5"/>
    <hyperlink xmlns:r="http://schemas.openxmlformats.org/officeDocument/2006/relationships" ref="B29" r:id="rId6"/>
    <hyperlink xmlns:r="http://schemas.openxmlformats.org/officeDocument/2006/relationships" ref="B30" r:id="rId7"/>
    <hyperlink xmlns:r="http://schemas.openxmlformats.org/officeDocument/2006/relationships" ref="B31" r:id="rId8"/>
    <hyperlink xmlns:r="http://schemas.openxmlformats.org/officeDocument/2006/relationships" ref="B32" r:id="rId9"/>
    <hyperlink xmlns:r="http://schemas.openxmlformats.org/officeDocument/2006/relationships" ref="B33" r:id="rId10"/>
    <hyperlink xmlns:r="http://schemas.openxmlformats.org/officeDocument/2006/relationships" ref="B34" r:id="rId11"/>
    <hyperlink xmlns:r="http://schemas.openxmlformats.org/officeDocument/2006/relationships" ref="B35" r:id="rId12"/>
    <hyperlink xmlns:r="http://schemas.openxmlformats.org/officeDocument/2006/relationships" ref="B36" r:id="rId13"/>
    <hyperlink xmlns:r="http://schemas.openxmlformats.org/officeDocument/2006/relationships" ref="B37" r:id="rId14"/>
    <hyperlink xmlns:r="http://schemas.openxmlformats.org/officeDocument/2006/relationships" ref="B38" r:id="rId15"/>
    <hyperlink xmlns:r="http://schemas.openxmlformats.org/officeDocument/2006/relationships" ref="B39" r:id="rId16"/>
    <hyperlink xmlns:r="http://schemas.openxmlformats.org/officeDocument/2006/relationships" ref="B40" r:id="rId17"/>
    <hyperlink xmlns:r="http://schemas.openxmlformats.org/officeDocument/2006/relationships" ref="B41" r:id="rId18"/>
    <hyperlink xmlns:r="http://schemas.openxmlformats.org/officeDocument/2006/relationships" ref="B42" r:id="rId19"/>
    <hyperlink xmlns:r="http://schemas.openxmlformats.org/officeDocument/2006/relationships" ref="B43" r:id="rId20"/>
    <hyperlink xmlns:r="http://schemas.openxmlformats.org/officeDocument/2006/relationships" ref="B44" r:id="rId21"/>
    <hyperlink xmlns:r="http://schemas.openxmlformats.org/officeDocument/2006/relationships" ref="B45" r:id="rId22"/>
    <hyperlink xmlns:r="http://schemas.openxmlformats.org/officeDocument/2006/relationships" ref="B46" r:id="rId2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0"/>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24" customWidth="1" min="1" max="1"/>
    <col width="12" customWidth="1" min="2" max="2"/>
    <col width="12" customWidth="1" min="3" max="3"/>
    <col width="13" customWidth="1" min="4" max="4"/>
    <col width="15" customWidth="1" min="5" max="5"/>
    <col width="15" customWidth="1" min="6" max="6"/>
    <col width="15" customWidth="1" min="7" max="7"/>
    <col width="15" customWidth="1" min="8" max="8"/>
    <col width="15" customWidth="1" min="9" max="9"/>
    <col width="15" customWidth="1" min="10" max="10"/>
    <col width="17" customWidth="1" min="11" max="11"/>
    <col width="30" customWidth="1" min="12" max="12"/>
  </cols>
  <sheetData>
    <row r="1" ht="22" customHeight="1">
      <c r="A1" s="1" t="inlineStr">
        <is>
          <t>Oversikt over alle produksjonar</t>
        </is>
      </c>
    </row>
    <row r="2">
      <c r="A2" s="7" t="inlineStr">
        <is>
          <t>Summert frå kvar produksjonsfane. Set J i kolonne B for produksjonar som skal vere med i grovfôr- og totaløkonomien.</t>
        </is>
      </c>
    </row>
    <row r="3">
      <c r="A3" s="8" t="inlineStr">
        <is>
          <t>Fargekodar:  blå tal på gul botn = input (skal fyllast inn)   ·   svart = formel   ·   grøn = lenkje frå anna ark.   Alle kronebeløp er positive (inntekt og kostnad).</t>
        </is>
      </c>
    </row>
    <row r="6" ht="42" customHeight="1">
      <c r="A6" s="9" t="inlineStr">
        <is>
          <t>Produksjon</t>
        </is>
      </c>
      <c r="B6" s="9" t="inlineStr">
        <is>
          <t>Med i totalen (J/N)</t>
        </is>
      </c>
      <c r="C6" s="9" t="inlineStr">
        <is>
          <t>Eining</t>
        </is>
      </c>
      <c r="D6" s="9" t="inlineStr">
        <is>
          <t>Tal einingar</t>
        </is>
      </c>
      <c r="E6" s="9" t="inlineStr">
        <is>
          <t>Produksjons-
inntekter</t>
        </is>
      </c>
      <c r="F6" s="9" t="inlineStr">
        <is>
          <t>Variable
kostnader</t>
        </is>
      </c>
      <c r="G6" s="9" t="inlineStr">
        <is>
          <t>DB u/tilskot</t>
        </is>
      </c>
      <c r="H6" s="9" t="inlineStr">
        <is>
          <t>Tilskot</t>
        </is>
      </c>
      <c r="I6" s="9" t="inlineStr">
        <is>
          <t>DB m/tilskot</t>
        </is>
      </c>
      <c r="J6" s="9" t="inlineStr">
        <is>
          <t>DB u/tilskot
pr eining</t>
        </is>
      </c>
      <c r="K6" s="9" t="inlineStr">
        <is>
          <t>DB m/tilskot
pr eining</t>
        </is>
      </c>
      <c r="L6" s="9" t="inlineStr">
        <is>
          <t>DB m/tilskot etter
maskin og innandørsmek.</t>
        </is>
      </c>
    </row>
    <row r="7">
      <c r="A7" s="10" t="inlineStr">
        <is>
          <t>Korn</t>
        </is>
      </c>
      <c r="B7" s="11" t="inlineStr">
        <is>
          <t>N</t>
        </is>
      </c>
      <c r="C7" s="12" t="inlineStr">
        <is>
          <t>dekar</t>
        </is>
      </c>
      <c r="D7" s="13">
        <f>Korn!C7</f>
        <v/>
      </c>
      <c r="E7" s="13">
        <f>Korn!C24</f>
        <v/>
      </c>
      <c r="F7" s="13">
        <f>Korn!C25</f>
        <v/>
      </c>
      <c r="G7" s="13">
        <f>Korn!C26</f>
        <v/>
      </c>
      <c r="H7" s="13">
        <f>Korn!C11</f>
        <v/>
      </c>
      <c r="I7" s="13">
        <f>Korn!C27</f>
        <v/>
      </c>
      <c r="J7" s="14">
        <f>IF(Korn!C7=0,0,Korn!C26/Korn!C7)</f>
        <v/>
      </c>
      <c r="K7" s="14">
        <f>IF(Korn!C7=0,0,Korn!C27/Korn!C7)</f>
        <v/>
      </c>
      <c r="L7" s="13">
        <f>Korn!C28</f>
        <v/>
      </c>
    </row>
    <row r="8">
      <c r="A8" s="10" t="inlineStr">
        <is>
          <t>Silofor</t>
        </is>
      </c>
      <c r="B8" s="11" t="inlineStr">
        <is>
          <t>J</t>
        </is>
      </c>
      <c r="C8" s="12" t="inlineStr">
        <is>
          <t>dekar</t>
        </is>
      </c>
      <c r="D8" s="13">
        <f>Silofor!C7</f>
        <v/>
      </c>
      <c r="E8" s="13">
        <f>Silofor!C25</f>
        <v/>
      </c>
      <c r="F8" s="13">
        <f>Silofor!C26</f>
        <v/>
      </c>
      <c r="G8" s="13">
        <f>Silofor!C27</f>
        <v/>
      </c>
      <c r="H8" s="13">
        <f>Silofor!C13</f>
        <v/>
      </c>
      <c r="I8" s="13">
        <f>Silofor!C28</f>
        <v/>
      </c>
      <c r="J8" s="14">
        <f>IF(Silofor!C7=0,0,Silofor!C27/Silofor!C7)</f>
        <v/>
      </c>
      <c r="K8" s="14">
        <f>IF(Silofor!C7=0,0,Silofor!C28/Silofor!C7)</f>
        <v/>
      </c>
      <c r="L8" s="13">
        <f>Silofor!C29</f>
        <v/>
      </c>
    </row>
    <row r="9">
      <c r="A9" s="10" t="inlineStr">
        <is>
          <t>Høy</t>
        </is>
      </c>
      <c r="B9" s="11" t="inlineStr">
        <is>
          <t>N</t>
        </is>
      </c>
      <c r="C9" s="12" t="inlineStr">
        <is>
          <t>dekar</t>
        </is>
      </c>
      <c r="D9" s="13">
        <f>'Høy'!C7</f>
        <v/>
      </c>
      <c r="E9" s="13">
        <f>'Høy'!C23</f>
        <v/>
      </c>
      <c r="F9" s="13">
        <f>'Høy'!C24</f>
        <v/>
      </c>
      <c r="G9" s="13">
        <f>'Høy'!C25</f>
        <v/>
      </c>
      <c r="H9" s="13">
        <f>'Høy'!C11</f>
        <v/>
      </c>
      <c r="I9" s="13">
        <f>'Høy'!C26</f>
        <v/>
      </c>
      <c r="J9" s="14">
        <f>IF('Høy'!C7=0,0,'Høy'!C25/'Høy'!C7)</f>
        <v/>
      </c>
      <c r="K9" s="14">
        <f>IF('Høy'!C7=0,0,'Høy'!C26/'Høy'!C7)</f>
        <v/>
      </c>
      <c r="L9" s="13">
        <f>'Høy'!C27</f>
        <v/>
      </c>
    </row>
    <row r="10">
      <c r="A10" s="10" t="inlineStr">
        <is>
          <t>Potet</t>
        </is>
      </c>
      <c r="B10" s="11" t="inlineStr">
        <is>
          <t>N</t>
        </is>
      </c>
      <c r="C10" s="12" t="inlineStr">
        <is>
          <t>dekar</t>
        </is>
      </c>
      <c r="D10" s="13">
        <f>Potet!C7</f>
        <v/>
      </c>
      <c r="E10" s="13">
        <f>Potet!C24</f>
        <v/>
      </c>
      <c r="F10" s="13">
        <f>Potet!C25</f>
        <v/>
      </c>
      <c r="G10" s="13">
        <f>Potet!C26</f>
        <v/>
      </c>
      <c r="H10" s="13">
        <f>Potet!C11</f>
        <v/>
      </c>
      <c r="I10" s="13">
        <f>Potet!C27</f>
        <v/>
      </c>
      <c r="J10" s="14">
        <f>IF(Potet!C7=0,0,Potet!C26/Potet!C7)</f>
        <v/>
      </c>
      <c r="K10" s="14">
        <f>IF(Potet!C7=0,0,Potet!C27/Potet!C7)</f>
        <v/>
      </c>
      <c r="L10" s="13">
        <f>Potet!C28</f>
        <v/>
      </c>
    </row>
    <row r="11">
      <c r="A11" s="10" t="inlineStr">
        <is>
          <t>Agurk</t>
        </is>
      </c>
      <c r="B11" s="11" t="inlineStr">
        <is>
          <t>N</t>
        </is>
      </c>
      <c r="C11" s="12" t="inlineStr">
        <is>
          <t>m²</t>
        </is>
      </c>
      <c r="D11" s="13">
        <f>Agurk!C7</f>
        <v/>
      </c>
      <c r="E11" s="13">
        <f>Agurk!C25</f>
        <v/>
      </c>
      <c r="F11" s="13">
        <f>Agurk!C26</f>
        <v/>
      </c>
      <c r="G11" s="13">
        <f>Agurk!C27</f>
        <v/>
      </c>
      <c r="H11" s="13">
        <f>Agurk!C11</f>
        <v/>
      </c>
      <c r="I11" s="13">
        <f>Agurk!C28</f>
        <v/>
      </c>
      <c r="J11" s="14">
        <f>IF(Agurk!C7=0,0,Agurk!C27/Agurk!C7)</f>
        <v/>
      </c>
      <c r="K11" s="14">
        <f>IF(Agurk!C7=0,0,Agurk!C28/Agurk!C7)</f>
        <v/>
      </c>
      <c r="L11" s="13">
        <f>Agurk!C29</f>
        <v/>
      </c>
    </row>
    <row r="12">
      <c r="A12" s="10" t="inlineStr">
        <is>
          <t>Tomat</t>
        </is>
      </c>
      <c r="B12" s="11" t="inlineStr">
        <is>
          <t>N</t>
        </is>
      </c>
      <c r="C12" s="12" t="inlineStr">
        <is>
          <t>m²</t>
        </is>
      </c>
      <c r="D12" s="13">
        <f>Tomat!C7</f>
        <v/>
      </c>
      <c r="E12" s="13">
        <f>Tomat!C25</f>
        <v/>
      </c>
      <c r="F12" s="13">
        <f>Tomat!C26</f>
        <v/>
      </c>
      <c r="G12" s="13">
        <f>Tomat!C27</f>
        <v/>
      </c>
      <c r="H12" s="13">
        <f>Tomat!C11</f>
        <v/>
      </c>
      <c r="I12" s="13">
        <f>Tomat!C28</f>
        <v/>
      </c>
      <c r="J12" s="14">
        <f>IF(Tomat!C7=0,0,Tomat!C27/Tomat!C7)</f>
        <v/>
      </c>
      <c r="K12" s="14">
        <f>IF(Tomat!C7=0,0,Tomat!C28/Tomat!C7)</f>
        <v/>
      </c>
      <c r="L12" s="13">
        <f>Tomat!C29</f>
        <v/>
      </c>
    </row>
    <row r="13">
      <c r="A13" s="10" t="inlineStr">
        <is>
          <t>Frilandsgrønsak</t>
        </is>
      </c>
      <c r="B13" s="11" t="inlineStr">
        <is>
          <t>N</t>
        </is>
      </c>
      <c r="C13" s="12" t="inlineStr">
        <is>
          <t>dekar</t>
        </is>
      </c>
      <c r="D13" s="13">
        <f>'Frilandsgrønsak'!C7</f>
        <v/>
      </c>
      <c r="E13" s="13">
        <f>'Frilandsgrønsak'!C24</f>
        <v/>
      </c>
      <c r="F13" s="13">
        <f>'Frilandsgrønsak'!C25</f>
        <v/>
      </c>
      <c r="G13" s="13">
        <f>'Frilandsgrønsak'!C26</f>
        <v/>
      </c>
      <c r="H13" s="13">
        <f>'Frilandsgrønsak'!C11</f>
        <v/>
      </c>
      <c r="I13" s="13">
        <f>'Frilandsgrønsak'!C27</f>
        <v/>
      </c>
      <c r="J13" s="14">
        <f>IF('Frilandsgrønsak'!C7=0,0,'Frilandsgrønsak'!C26/'Frilandsgrønsak'!C7)</f>
        <v/>
      </c>
      <c r="K13" s="14">
        <f>IF('Frilandsgrønsak'!C7=0,0,'Frilandsgrønsak'!C27/'Frilandsgrønsak'!C7)</f>
        <v/>
      </c>
      <c r="L13" s="13">
        <f>'Frilandsgrønsak'!C28</f>
        <v/>
      </c>
    </row>
    <row r="14">
      <c r="A14" s="10" t="inlineStr">
        <is>
          <t>Gulrot</t>
        </is>
      </c>
      <c r="B14" s="11" t="inlineStr">
        <is>
          <t>N</t>
        </is>
      </c>
      <c r="C14" s="12" t="inlineStr">
        <is>
          <t>dekar</t>
        </is>
      </c>
      <c r="D14" s="13">
        <f>Gulrot!C7</f>
        <v/>
      </c>
      <c r="E14" s="13">
        <f>Gulrot!C24</f>
        <v/>
      </c>
      <c r="F14" s="13">
        <f>Gulrot!C25</f>
        <v/>
      </c>
      <c r="G14" s="13">
        <f>Gulrot!C26</f>
        <v/>
      </c>
      <c r="H14" s="13">
        <f>Gulrot!C11</f>
        <v/>
      </c>
      <c r="I14" s="13">
        <f>Gulrot!C27</f>
        <v/>
      </c>
      <c r="J14" s="14">
        <f>IF(Gulrot!C7=0,0,Gulrot!C26/Gulrot!C7)</f>
        <v/>
      </c>
      <c r="K14" s="14">
        <f>IF(Gulrot!C7=0,0,Gulrot!C27/Gulrot!C7)</f>
        <v/>
      </c>
      <c r="L14" s="13">
        <f>Gulrot!C28</f>
        <v/>
      </c>
    </row>
    <row r="15">
      <c r="A15" s="10" t="inlineStr">
        <is>
          <t>Kålrot</t>
        </is>
      </c>
      <c r="B15" s="11" t="inlineStr">
        <is>
          <t>N</t>
        </is>
      </c>
      <c r="C15" s="12" t="inlineStr">
        <is>
          <t>dekar</t>
        </is>
      </c>
      <c r="D15" s="13">
        <f>'Kålrot'!C7</f>
        <v/>
      </c>
      <c r="E15" s="13">
        <f>'Kålrot'!C24</f>
        <v/>
      </c>
      <c r="F15" s="13">
        <f>'Kålrot'!C25</f>
        <v/>
      </c>
      <c r="G15" s="13">
        <f>'Kålrot'!C26</f>
        <v/>
      </c>
      <c r="H15" s="13">
        <f>'Kålrot'!C11</f>
        <v/>
      </c>
      <c r="I15" s="13">
        <f>'Kålrot'!C27</f>
        <v/>
      </c>
      <c r="J15" s="14">
        <f>IF('Kålrot'!C7=0,0,'Kålrot'!C26/'Kålrot'!C7)</f>
        <v/>
      </c>
      <c r="K15" s="14">
        <f>IF('Kålrot'!C7=0,0,'Kålrot'!C27/'Kålrot'!C7)</f>
        <v/>
      </c>
      <c r="L15" s="13">
        <f>'Kålrot'!C28</f>
        <v/>
      </c>
    </row>
    <row r="16">
      <c r="A16" s="10" t="inlineStr">
        <is>
          <t>Mjølk</t>
        </is>
      </c>
      <c r="B16" s="11" t="inlineStr">
        <is>
          <t>N</t>
        </is>
      </c>
      <c r="C16" s="12" t="inlineStr">
        <is>
          <t>årskyr</t>
        </is>
      </c>
      <c r="D16" s="13">
        <f>'Mjølk'!C7</f>
        <v/>
      </c>
      <c r="E16" s="13">
        <f>'Mjølk'!C50</f>
        <v/>
      </c>
      <c r="F16" s="13">
        <f>'Mjølk'!C55</f>
        <v/>
      </c>
      <c r="G16" s="13">
        <f>'Mjølk'!C56</f>
        <v/>
      </c>
      <c r="H16" s="13">
        <f>'Mjølk'!C21</f>
        <v/>
      </c>
      <c r="I16" s="13">
        <f>'Mjølk'!C57</f>
        <v/>
      </c>
      <c r="J16" s="14">
        <f>IF('Mjølk'!C7=0,0,'Mjølk'!C56/'Mjølk'!C7)</f>
        <v/>
      </c>
      <c r="K16" s="14">
        <f>IF('Mjølk'!C7=0,0,'Mjølk'!C57/'Mjølk'!C7)</f>
        <v/>
      </c>
      <c r="L16" s="13">
        <f>'Mjølk'!C58</f>
        <v/>
      </c>
    </row>
    <row r="17">
      <c r="A17" s="10" t="inlineStr">
        <is>
          <t>Oksar</t>
        </is>
      </c>
      <c r="B17" s="11" t="inlineStr">
        <is>
          <t>N</t>
        </is>
      </c>
      <c r="C17" s="12" t="inlineStr">
        <is>
          <t>oksar</t>
        </is>
      </c>
      <c r="D17" s="13">
        <f>Oksar!C7</f>
        <v/>
      </c>
      <c r="E17" s="13">
        <f>Oksar!C47</f>
        <v/>
      </c>
      <c r="F17" s="13">
        <f>Oksar!C52</f>
        <v/>
      </c>
      <c r="G17" s="13">
        <f>Oksar!C53</f>
        <v/>
      </c>
      <c r="H17" s="13">
        <f>Oksar!C20</f>
        <v/>
      </c>
      <c r="I17" s="13">
        <f>Oksar!C54</f>
        <v/>
      </c>
      <c r="J17" s="14">
        <f>IF(Oksar!C7=0,0,Oksar!C53/Oksar!C7)</f>
        <v/>
      </c>
      <c r="K17" s="14">
        <f>IF(Oksar!C7=0,0,Oksar!C54/Oksar!C7)</f>
        <v/>
      </c>
      <c r="L17" s="13">
        <f>Oksar!C55</f>
        <v/>
      </c>
    </row>
    <row r="18">
      <c r="A18" s="10" t="inlineStr">
        <is>
          <t>Mellomkalv</t>
        </is>
      </c>
      <c r="B18" s="11" t="inlineStr">
        <is>
          <t>N</t>
        </is>
      </c>
      <c r="C18" s="12" t="inlineStr">
        <is>
          <t>kalvar</t>
        </is>
      </c>
      <c r="D18" s="13">
        <f>Mellomkalv!C7</f>
        <v/>
      </c>
      <c r="E18" s="13">
        <f>Mellomkalv!C47</f>
        <v/>
      </c>
      <c r="F18" s="13">
        <f>Mellomkalv!C52</f>
        <v/>
      </c>
      <c r="G18" s="13">
        <f>Mellomkalv!C53</f>
        <v/>
      </c>
      <c r="H18" s="13">
        <f>Mellomkalv!C20</f>
        <v/>
      </c>
      <c r="I18" s="13">
        <f>Mellomkalv!C54</f>
        <v/>
      </c>
      <c r="J18" s="14">
        <f>IF(Mellomkalv!C7=0,0,Mellomkalv!C53/Mellomkalv!C7)</f>
        <v/>
      </c>
      <c r="K18" s="14">
        <f>IF(Mellomkalv!C7=0,0,Mellomkalv!C54/Mellomkalv!C7)</f>
        <v/>
      </c>
      <c r="L18" s="13">
        <f>Mellomkalv!C55</f>
        <v/>
      </c>
    </row>
    <row r="19">
      <c r="A19" s="10" t="inlineStr">
        <is>
          <t>Ammekyr</t>
        </is>
      </c>
      <c r="B19" s="11" t="inlineStr">
        <is>
          <t>J</t>
        </is>
      </c>
      <c r="C19" s="12" t="inlineStr">
        <is>
          <t>ammekyr</t>
        </is>
      </c>
      <c r="D19" s="13">
        <f>Ammekyr!C7</f>
        <v/>
      </c>
      <c r="E19" s="13">
        <f>Ammekyr!C52</f>
        <v/>
      </c>
      <c r="F19" s="13">
        <f>Ammekyr!C57</f>
        <v/>
      </c>
      <c r="G19" s="13">
        <f>Ammekyr!C58</f>
        <v/>
      </c>
      <c r="H19" s="13">
        <f>Ammekyr!C25</f>
        <v/>
      </c>
      <c r="I19" s="13">
        <f>Ammekyr!C59</f>
        <v/>
      </c>
      <c r="J19" s="14">
        <f>IF(Ammekyr!C7=0,0,Ammekyr!C58/Ammekyr!C7)</f>
        <v/>
      </c>
      <c r="K19" s="14">
        <f>IF(Ammekyr!C7=0,0,Ammekyr!C59/Ammekyr!C7)</f>
        <v/>
      </c>
      <c r="L19" s="13">
        <f>Ammekyr!C60</f>
        <v/>
      </c>
    </row>
    <row r="20">
      <c r="A20" s="10" t="inlineStr">
        <is>
          <t>Smågris</t>
        </is>
      </c>
      <c r="B20" s="11" t="inlineStr">
        <is>
          <t>N</t>
        </is>
      </c>
      <c r="C20" s="12" t="inlineStr">
        <is>
          <t>årspurker</t>
        </is>
      </c>
      <c r="D20" s="13">
        <f>'Smågris'!C7</f>
        <v/>
      </c>
      <c r="E20" s="13">
        <f>'Smågris'!C32</f>
        <v/>
      </c>
      <c r="F20" s="13">
        <f>'Smågris'!C33</f>
        <v/>
      </c>
      <c r="G20" s="13">
        <f>'Smågris'!C34</f>
        <v/>
      </c>
      <c r="H20" s="13">
        <f>'Smågris'!C17</f>
        <v/>
      </c>
      <c r="I20" s="13">
        <f>'Smågris'!C35</f>
        <v/>
      </c>
      <c r="J20" s="14">
        <f>IF('Smågris'!C7=0,0,'Smågris'!C34/'Smågris'!C7)</f>
        <v/>
      </c>
      <c r="K20" s="14">
        <f>IF('Smågris'!C7=0,0,'Smågris'!C35/'Smågris'!C7)</f>
        <v/>
      </c>
      <c r="L20" s="13">
        <f>'Smågris'!C36</f>
        <v/>
      </c>
    </row>
    <row r="21">
      <c r="A21" s="10" t="inlineStr">
        <is>
          <t>Purkering</t>
        </is>
      </c>
      <c r="B21" s="11" t="inlineStr">
        <is>
          <t>N</t>
        </is>
      </c>
      <c r="C21" s="12" t="inlineStr">
        <is>
          <t>årspurker</t>
        </is>
      </c>
      <c r="D21" s="13">
        <f>Purkering!C7</f>
        <v/>
      </c>
      <c r="E21" s="13">
        <f>Purkering!C33</f>
        <v/>
      </c>
      <c r="F21" s="13">
        <f>Purkering!C34</f>
        <v/>
      </c>
      <c r="G21" s="13">
        <f>Purkering!C35</f>
        <v/>
      </c>
      <c r="H21" s="13">
        <f>Purkering!C17</f>
        <v/>
      </c>
      <c r="I21" s="13">
        <f>Purkering!C36</f>
        <v/>
      </c>
      <c r="J21" s="14">
        <f>IF(Purkering!C7=0,0,Purkering!C35/Purkering!C7)</f>
        <v/>
      </c>
      <c r="K21" s="14">
        <f>IF(Purkering!C7=0,0,Purkering!C36/Purkering!C7)</f>
        <v/>
      </c>
      <c r="L21" s="13">
        <f>Purkering!C37</f>
        <v/>
      </c>
    </row>
    <row r="22">
      <c r="A22" s="10" t="inlineStr">
        <is>
          <t>Slaktegris</t>
        </is>
      </c>
      <c r="B22" s="11" t="inlineStr">
        <is>
          <t>N</t>
        </is>
      </c>
      <c r="C22" s="12" t="inlineStr">
        <is>
          <t>slaktegris</t>
        </is>
      </c>
      <c r="D22" s="13">
        <f>Slaktegris!C7</f>
        <v/>
      </c>
      <c r="E22" s="13">
        <f>Slaktegris!C29</f>
        <v/>
      </c>
      <c r="F22" s="13">
        <f>Slaktegris!C30</f>
        <v/>
      </c>
      <c r="G22" s="13">
        <f>Slaktegris!C31</f>
        <v/>
      </c>
      <c r="H22" s="13">
        <f>Slaktegris!C16</f>
        <v/>
      </c>
      <c r="I22" s="13">
        <f>Slaktegris!C32</f>
        <v/>
      </c>
      <c r="J22" s="14">
        <f>IF(Slaktegris!C7=0,0,Slaktegris!C31/Slaktegris!C7)</f>
        <v/>
      </c>
      <c r="K22" s="14">
        <f>IF(Slaktegris!C7=0,0,Slaktegris!C32/Slaktegris!C7)</f>
        <v/>
      </c>
      <c r="L22" s="13">
        <f>Slaktegris!C33</f>
        <v/>
      </c>
    </row>
    <row r="23">
      <c r="A23" s="10" t="inlineStr">
        <is>
          <t>Sau</t>
        </is>
      </c>
      <c r="B23" s="11" t="inlineStr">
        <is>
          <t>J</t>
        </is>
      </c>
      <c r="C23" s="12" t="inlineStr">
        <is>
          <t>vf. sau</t>
        </is>
      </c>
      <c r="D23" s="13">
        <f>Sau!C7</f>
        <v/>
      </c>
      <c r="E23" s="13">
        <f>Sau!C58</f>
        <v/>
      </c>
      <c r="F23" s="13">
        <f>Sau!C63</f>
        <v/>
      </c>
      <c r="G23" s="13">
        <f>Sau!C64</f>
        <v/>
      </c>
      <c r="H23" s="13">
        <f>Sau!C29</f>
        <v/>
      </c>
      <c r="I23" s="13">
        <f>Sau!C65</f>
        <v/>
      </c>
      <c r="J23" s="14">
        <f>IF(Sau!C7=0,0,Sau!C64/Sau!C7)</f>
        <v/>
      </c>
      <c r="K23" s="14">
        <f>IF(Sau!C7=0,0,Sau!C65/Sau!C7)</f>
        <v/>
      </c>
      <c r="L23" s="13">
        <f>Sau!C66</f>
        <v/>
      </c>
    </row>
    <row r="24">
      <c r="A24" s="10" t="inlineStr">
        <is>
          <t>Geit</t>
        </is>
      </c>
      <c r="B24" s="11" t="inlineStr">
        <is>
          <t>N</t>
        </is>
      </c>
      <c r="C24" s="12" t="inlineStr">
        <is>
          <t>geiter</t>
        </is>
      </c>
      <c r="D24" s="13">
        <f>Geit!C7</f>
        <v/>
      </c>
      <c r="E24" s="13">
        <f>Geit!C46</f>
        <v/>
      </c>
      <c r="F24" s="13">
        <f>Geit!C51</f>
        <v/>
      </c>
      <c r="G24" s="13">
        <f>Geit!C52</f>
        <v/>
      </c>
      <c r="H24" s="13">
        <f>Geit!C18</f>
        <v/>
      </c>
      <c r="I24" s="13">
        <f>Geit!C53</f>
        <v/>
      </c>
      <c r="J24" s="14">
        <f>IF(Geit!C7=0,0,Geit!C52/Geit!C7)</f>
        <v/>
      </c>
      <c r="K24" s="14">
        <f>IF(Geit!C7=0,0,Geit!C53/Geit!C7)</f>
        <v/>
      </c>
      <c r="L24" s="13">
        <f>Geit!C54</f>
        <v/>
      </c>
    </row>
    <row r="25">
      <c r="A25" s="10" t="inlineStr">
        <is>
          <t>Egg</t>
        </is>
      </c>
      <c r="B25" s="11" t="inlineStr">
        <is>
          <t>N</t>
        </is>
      </c>
      <c r="C25" s="12" t="inlineStr">
        <is>
          <t>høner</t>
        </is>
      </c>
      <c r="D25" s="13">
        <f>Egg!C7</f>
        <v/>
      </c>
      <c r="E25" s="13">
        <f>Egg!C24</f>
        <v/>
      </c>
      <c r="F25" s="13">
        <f>Egg!C25</f>
        <v/>
      </c>
      <c r="G25" s="13">
        <f>Egg!C26</f>
        <v/>
      </c>
      <c r="H25" s="13">
        <f>Egg!C11</f>
        <v/>
      </c>
      <c r="I25" s="13">
        <f>Egg!C27</f>
        <v/>
      </c>
      <c r="J25" s="14">
        <f>IF(Egg!C7=0,0,Egg!C26/Egg!C7)</f>
        <v/>
      </c>
      <c r="K25" s="14">
        <f>IF(Egg!C7=0,0,Egg!C27/Egg!C7)</f>
        <v/>
      </c>
      <c r="L25" s="13">
        <f>Egg!C28</f>
        <v/>
      </c>
    </row>
    <row r="26">
      <c r="A26" s="10" t="inlineStr">
        <is>
          <t>Slaktekylling</t>
        </is>
      </c>
      <c r="B26" s="11" t="inlineStr">
        <is>
          <t>N</t>
        </is>
      </c>
      <c r="C26" s="12" t="inlineStr">
        <is>
          <t>kyllingar</t>
        </is>
      </c>
      <c r="D26" s="13">
        <f>Slaktekylling!C7</f>
        <v/>
      </c>
      <c r="E26" s="13">
        <f>Slaktekylling!C29</f>
        <v/>
      </c>
      <c r="F26" s="13">
        <f>Slaktekylling!C30</f>
        <v/>
      </c>
      <c r="G26" s="13">
        <f>Slaktekylling!C31</f>
        <v/>
      </c>
      <c r="H26" s="13">
        <f>Slaktekylling!C16</f>
        <v/>
      </c>
      <c r="I26" s="13">
        <f>Slaktekylling!C32</f>
        <v/>
      </c>
      <c r="J26" s="14">
        <f>IF(Slaktekylling!C7=0,0,Slaktekylling!C31/Slaktekylling!C7)</f>
        <v/>
      </c>
      <c r="K26" s="14">
        <f>IF(Slaktekylling!C7=0,0,Slaktekylling!C32/Slaktekylling!C7)</f>
        <v/>
      </c>
      <c r="L26" s="13">
        <f>Slaktekylling!C33</f>
        <v/>
      </c>
    </row>
    <row r="27">
      <c r="A27" s="2" t="inlineStr">
        <is>
          <t>Sum produksjonar med J</t>
        </is>
      </c>
      <c r="E27" s="15">
        <f>SUMIF($B$7:$B$26,"J",E7:E26)</f>
        <v/>
      </c>
      <c r="F27" s="15">
        <f>SUMIF($B$7:$B$26,"J",F7:F26)</f>
        <v/>
      </c>
      <c r="G27" s="15">
        <f>SUMIF($B$7:$B$26,"J",G7:G26)</f>
        <v/>
      </c>
      <c r="H27" s="15">
        <f>SUMIF($B$7:$B$26,"J",H7:H26)</f>
        <v/>
      </c>
      <c r="I27" s="15">
        <f>SUMIF($B$7:$B$26,"J",I7:I26)</f>
        <v/>
      </c>
      <c r="L27" s="15">
        <f>SUMIF($B$7:$B$26,"J",L7:L26)</f>
        <v/>
      </c>
    </row>
    <row r="29">
      <c r="A29" s="8" t="inlineStr">
        <is>
          <t>Kontroll: Sum DB m/tilskot skal vere lik «Sum DB med tilskot» på Totaløkonomi:</t>
        </is>
      </c>
    </row>
    <row r="30">
      <c r="A30" s="8" t="inlineStr">
        <is>
          <t>Avvik</t>
        </is>
      </c>
      <c r="I30" s="16">
        <f>I27-'Totaløkonomi'!C11</f>
        <v/>
      </c>
    </row>
  </sheetData>
  <dataValidations count="1">
    <dataValidation sqref="B7 B8 B9 B10 B11 B12 B13 B14 B15 B16 B17 B18 B19 B20 B21 B22 B23 B24 B25 B26" showDropDown="0" showInputMessage="0" showErrorMessage="0" allowBlank="0" type="list">
      <formula1>"J,N"</formula1>
    </dataValidation>
  </dataValidations>
  <hyperlinks>
    <hyperlink xmlns:r="http://schemas.openxmlformats.org/officeDocument/2006/relationships" ref="A7" r:id="rId1"/>
    <hyperlink xmlns:r="http://schemas.openxmlformats.org/officeDocument/2006/relationships" ref="A8" r:id="rId2"/>
    <hyperlink xmlns:r="http://schemas.openxmlformats.org/officeDocument/2006/relationships" ref="A9" r:id="rId3"/>
    <hyperlink xmlns:r="http://schemas.openxmlformats.org/officeDocument/2006/relationships" ref="A10" r:id="rId4"/>
    <hyperlink xmlns:r="http://schemas.openxmlformats.org/officeDocument/2006/relationships" ref="A11" r:id="rId5"/>
    <hyperlink xmlns:r="http://schemas.openxmlformats.org/officeDocument/2006/relationships" ref="A12" r:id="rId6"/>
    <hyperlink xmlns:r="http://schemas.openxmlformats.org/officeDocument/2006/relationships" ref="A13" r:id="rId7"/>
    <hyperlink xmlns:r="http://schemas.openxmlformats.org/officeDocument/2006/relationships" ref="A14" r:id="rId8"/>
    <hyperlink xmlns:r="http://schemas.openxmlformats.org/officeDocument/2006/relationships" ref="A15" r:id="rId9"/>
    <hyperlink xmlns:r="http://schemas.openxmlformats.org/officeDocument/2006/relationships" ref="A16" r:id="rId10"/>
    <hyperlink xmlns:r="http://schemas.openxmlformats.org/officeDocument/2006/relationships" ref="A17" r:id="rId11"/>
    <hyperlink xmlns:r="http://schemas.openxmlformats.org/officeDocument/2006/relationships" ref="A18" r:id="rId12"/>
    <hyperlink xmlns:r="http://schemas.openxmlformats.org/officeDocument/2006/relationships" ref="A19" r:id="rId13"/>
    <hyperlink xmlns:r="http://schemas.openxmlformats.org/officeDocument/2006/relationships" ref="A20" r:id="rId14"/>
    <hyperlink xmlns:r="http://schemas.openxmlformats.org/officeDocument/2006/relationships" ref="A21" r:id="rId15"/>
    <hyperlink xmlns:r="http://schemas.openxmlformats.org/officeDocument/2006/relationships" ref="A22" r:id="rId16"/>
    <hyperlink xmlns:r="http://schemas.openxmlformats.org/officeDocument/2006/relationships" ref="A23" r:id="rId17"/>
    <hyperlink xmlns:r="http://schemas.openxmlformats.org/officeDocument/2006/relationships" ref="A24" r:id="rId18"/>
    <hyperlink xmlns:r="http://schemas.openxmlformats.org/officeDocument/2006/relationships" ref="A25" r:id="rId19"/>
    <hyperlink xmlns:r="http://schemas.openxmlformats.org/officeDocument/2006/relationships" ref="A26" r:id="rId20"/>
  </hyperlink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F39"/>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0" customWidth="1" min="1" max="1"/>
    <col width="34" customWidth="1" min="2" max="2"/>
    <col width="16" customWidth="1" min="3" max="3"/>
    <col width="10" customWidth="1" min="4" max="4"/>
    <col width="78" customWidth="1" min="5" max="5"/>
    <col width="46" customWidth="1" min="6" max="6"/>
  </cols>
  <sheetData>
    <row r="1" ht="22" customHeight="1">
      <c r="A1" s="1" t="inlineStr">
        <is>
          <t>Totaløkonomi</t>
        </is>
      </c>
    </row>
    <row r="2">
      <c r="A2" s="7" t="inlineStr">
        <is>
          <t>Summerer dekningsbidraget frå alle produksjonar som er med, trekkjer frå faste kostnader og avstemmer mot skattemessig resultat.</t>
        </is>
      </c>
    </row>
    <row r="3">
      <c r="A3" s="8" t="inlineStr">
        <is>
          <t>Fargekodar:  blå tal på gul botn = input (skal fyllast inn)   ·   svart = formel   ·   grøn = lenkje frå anna ark.   Alle kronebeløp er positive (inntekt og kostnad).</t>
        </is>
      </c>
    </row>
    <row r="5">
      <c r="A5" s="17" t="inlineStr">
        <is>
          <t>Post</t>
        </is>
      </c>
      <c r="B5" s="17" t="inlineStr">
        <is>
          <t>Kjelde / Tripletex-konto</t>
        </is>
      </c>
      <c r="C5" s="17" t="inlineStr">
        <is>
          <t>Verdi</t>
        </is>
      </c>
      <c r="D5" s="17" t="inlineStr">
        <is>
          <t>Eining</t>
        </is>
      </c>
      <c r="E5" s="17" t="inlineStr">
        <is>
          <t>Formel forklart (korleis outputen blir rekna)</t>
        </is>
      </c>
      <c r="F5" s="17" t="inlineStr">
        <is>
          <t>Excel-formel</t>
        </is>
      </c>
    </row>
    <row r="6">
      <c r="A6" s="18" t="inlineStr">
        <is>
          <t>1. UTREKNING – Dekningsbidrag frå produksjonane (berre produksjonar med i totalen)</t>
        </is>
      </c>
      <c r="B6" s="19" t="n"/>
      <c r="C6" s="19" t="n"/>
      <c r="D6" s="19" t="n"/>
      <c r="E6" s="19" t="n"/>
      <c r="F6" s="19" t="n"/>
    </row>
    <row r="7">
      <c r="A7" s="20" t="inlineStr">
        <is>
          <t>Sum produksjonsinntekter</t>
        </is>
      </c>
      <c r="B7" s="21" t="inlineStr">
        <is>
          <t>Utrekna</t>
        </is>
      </c>
      <c r="C7" s="22">
        <f>Korn!C24*IF(Oversikt!$B$7="J",1,0)+Silofor!C25*IF(Oversikt!$B$8="J",1,0)+'Høy'!C23*IF(Oversikt!$B$9="J",1,0)+Potet!C24*IF(Oversikt!$B$10="J",1,0)+Agurk!C25*IF(Oversikt!$B$11="J",1,0)+Tomat!C25*IF(Oversikt!$B$12="J",1,0)+'Frilandsgrønsak'!C24*IF(Oversikt!$B$13="J",1,0)+Gulrot!C24*IF(Oversikt!$B$14="J",1,0)+'Kålrot'!C24*IF(Oversikt!$B$15="J",1,0)+'Mjølk'!C50*IF(Oversikt!$B$16="J",1,0)+Oksar!C47*IF(Oversikt!$B$17="J",1,0)+Mellomkalv!C47*IF(Oversikt!$B$18="J",1,0)+Ammekyr!C52*IF(Oversikt!$B$19="J",1,0)+'Smågris'!C32*IF(Oversikt!$B$20="J",1,0)+Purkering!C33*IF(Oversikt!$B$21="J",1,0)+Slaktegris!C29*IF(Oversikt!$B$22="J",1,0)+Sau!C58*IF(Oversikt!$B$23="J",1,0)+Geit!C46*IF(Oversikt!$B$24="J",1,0)+Egg!C24*IF(Oversikt!$B$25="J",1,0)+Slaktekylling!C29*IF(Oversikt!$B$26="J",1,0)</f>
        <v/>
      </c>
      <c r="D7" s="12" t="inlineStr">
        <is>
          <t>kr</t>
        </is>
      </c>
      <c r="E7" s="23" t="inlineStr">
        <is>
          <t>Sum produksjonsinntekter = Produksjonsinntekter i alt [Korn!C24] × Med i totalen Korn [Oversikt!B7 → 1/0] + Produksjonsinntekter i alt [Silofor!C25] × Med i totalen Silofor [Oversikt!B8 → 1/0] + Produksjonsinntekter i alt [Høy!C23] × Med i totalen Høy [Oversikt!B9 → 1/0] + Produksjonsinntekter i alt [Potet!C24] × Med i totalen Potet [Oversikt!B10 → 1/0] + Produksjonsinntekter i alt [Agurk!C25] × Med i totalen Agurk [Oversikt!B11 → 1/0] + Produksjonsinntekter i alt [Tomat!C25] × Med i totalen Tomat [Oversikt!B12 → 1/0] + Produksjonsinntekter i alt [Frilandsgrønsak!C24] × Med i totalen Frilandsgrønsak [Oversikt!B13 → 1/0] + Produksjonsinntekter i alt [Gulrot!C24] × Med i totalen Gulrot [Oversikt!B14 → 1/0] + Produksjonsinntekter i alt [Kålrot!C24] × Med i totalen Kålrot [Oversikt!B15 → 1/0] + Produksjonsinntekter i alt [Mjølk!C50] × Med i totalen Mjølk [Oversikt!B16 → 1/0] + Produksjonsinntekter i alt [Oksar!C47] × Med i totalen Oksar [Oversikt!B17 → 1/0] + Produksjonsinntekter i alt [Mellomkalv!C47] × Med i totalen Mellomkalv [Oversikt!B18 → 1/0] + Produksjonsinntekter i alt [Ammekyr!C52] × Med i totalen Ammekyr [Oversikt!B19 → 1/0] + Produksjonsinntekter i alt [Smågris!C32] × Med i totalen Smågris [Oversikt!B20 → 1/0] + Produksjonsinntekter i alt [Purkering!C33] × Med i totalen Purkering [Oversikt!B21 → 1/0] + Produksjonsinntekter i alt [Slaktegris!C29] × Med i totalen Slaktegris [Oversikt!B22 → 1/0] + Produksjonsinntekter i alt [Sau!C58] × Med i totalen Sau [Oversikt!B23 → 1/0] + Produksjonsinntekter i alt [Geit!C46] × Med i totalen Geit [Oversikt!B24 → 1/0] + Produksjonsinntekter i alt [Egg!C24] × Med i totalen Egg [Oversikt!B25 → 1/0] + Produksjonsinntekter i alt [Slaktekylling!C29] × Med i totalen Slaktekylling [Oversikt!B26 → 1/0]</t>
        </is>
      </c>
      <c r="F7" s="24" t="inlineStr">
        <is>
          <t>=Korn!C24*IF(Oversikt!$B$7="J",1,0)+Silofor!C25*IF(Oversikt!$B$8="J",1,0)+'Høy'!C23*IF(Oversikt!$B$9="J",1,0)+Potet!C24*IF(Oversikt!$B$10="J",1,0)+Agurk!C25*IF(Oversikt!$B$11="J",1,0)+Tomat!C25*IF(Oversikt!$B$12="J",1,0)+'Frilandsgrønsak'!C24*IF(Oversikt!$B$13="J",1,0)+Gulrot!C24*IF(Oversikt!$B$14="J",1,0)+'Kålrot'!C24*IF(Oversikt!$B$15="J",1,0)+'Mjølk'!C50*IF(Oversikt!$B$16="J",1,0)+Oksar!C47*IF(Oversikt!$B$17="J",1,0)+Mellomkalv!C47*IF(Oversikt!$B$18="J",1,0)+Ammekyr!C52*IF(Oversikt!$B$19="J",1,0)+'Smågris'!C32*IF(Oversikt!$B$20="J",1,0)+Purkering!C33*IF(Oversikt!$B$21="J",1,0)+Slaktegris!C29*IF(Oversikt!$B$22="J",1,0)+Sau!C58*IF(Oversikt!$B$23="J",1,0)+Geit!C46*IF(Oversikt!$B$24="J",1,0)+Egg!C24*IF(Oversikt!$B$25="J",1,0)+Slaktekylling!C29*IF(Oversikt!$B$26="J",1,0)</t>
        </is>
      </c>
    </row>
    <row r="8">
      <c r="A8" s="20" t="inlineStr">
        <is>
          <t>Sum variable kostnader</t>
        </is>
      </c>
      <c r="B8" s="21" t="inlineStr">
        <is>
          <t>Utrekna</t>
        </is>
      </c>
      <c r="C8" s="22">
        <f>Korn!C25*IF(Oversikt!$B$7="J",1,0)+Silofor!C26*IF(Oversikt!$B$8="J",1,0)+'Høy'!C24*IF(Oversikt!$B$9="J",1,0)+Potet!C25*IF(Oversikt!$B$10="J",1,0)+Agurk!C26*IF(Oversikt!$B$11="J",1,0)+Tomat!C26*IF(Oversikt!$B$12="J",1,0)+'Frilandsgrønsak'!C25*IF(Oversikt!$B$13="J",1,0)+Gulrot!C25*IF(Oversikt!$B$14="J",1,0)+'Kålrot'!C25*IF(Oversikt!$B$15="J",1,0)+'Mjølk'!C55*IF(Oversikt!$B$16="J",1,0)+Oksar!C52*IF(Oversikt!$B$17="J",1,0)+Mellomkalv!C52*IF(Oversikt!$B$18="J",1,0)+Ammekyr!C57*IF(Oversikt!$B$19="J",1,0)+'Smågris'!C33*IF(Oversikt!$B$20="J",1,0)+Purkering!C34*IF(Oversikt!$B$21="J",1,0)+Slaktegris!C30*IF(Oversikt!$B$22="J",1,0)+Sau!C63*IF(Oversikt!$B$23="J",1,0)+Geit!C51*IF(Oversikt!$B$24="J",1,0)+Egg!C25*IF(Oversikt!$B$25="J",1,0)+Slaktekylling!C30*IF(Oversikt!$B$26="J",1,0)</f>
        <v/>
      </c>
      <c r="D8" s="12" t="inlineStr">
        <is>
          <t>kr</t>
        </is>
      </c>
      <c r="E8" s="23" t="inlineStr">
        <is>
          <t>Sum variable kostnader = Variable kostnader i alt [Korn!C25] × Med i totalen Korn [Oversikt!B7 → 1/0] + Variable kostnader i alt [Silofor!C26] × Med i totalen Silofor [Oversikt!B8 → 1/0] + Variable kostnader i alt [Høy!C24] × Med i totalen Høy [Oversikt!B9 → 1/0] + Variable kostnader i alt [Potet!C25] × Med i totalen Potet [Oversikt!B10 → 1/0] + Variable kostnader i alt [Agurk!C26] × Med i totalen Agurk [Oversikt!B11 → 1/0] + Variable kostnader i alt [Tomat!C26] × Med i totalen Tomat [Oversikt!B12 → 1/0] + Variable kostnader i alt [Frilandsgrønsak!C25] × Med i totalen Frilandsgrønsak [Oversikt!B13 → 1/0] + Variable kostnader i alt [Gulrot!C25] × Med i totalen Gulrot [Oversikt!B14 → 1/0] + Variable kostnader i alt [Kålrot!C25] × Med i totalen Kålrot [Oversikt!B15 → 1/0] + Variable kostnader i alt [Mjølk!C55] × Med i totalen Mjølk [Oversikt!B16 → 1/0] + Variable kostnader i alt [Oksar!C52] × Med i totalen Oksar [Oversikt!B17 → 1/0] + Variable kostnader i alt [Mellomkalv!C52] × Med i totalen Mellomkalv [Oversikt!B18 → 1/0] + Variable kostnader i alt [Ammekyr!C57] × Med i totalen Ammekyr [Oversikt!B19 → 1/0] + Variable kostnader i alt [Smågris!C33] × Med i totalen Smågris [Oversikt!B20 → 1/0] + Variable kostnader i alt [Purkering!C34] × Med i totalen Purkering [Oversikt!B21 → 1/0] + Variable kostnader i alt [Slaktegris!C30] × Med i totalen Slaktegris [Oversikt!B22 → 1/0] + Variable kostnader i alt [Sau!C63] × Med i totalen Sau [Oversikt!B23 → 1/0] + Variable kostnader i alt [Geit!C51] × Med i totalen Geit [Oversikt!B24 → 1/0] + Variable kostnader i alt [Egg!C25] × Med i totalen Egg [Oversikt!B25 → 1/0] + Variable kostnader i alt [Slaktekylling!C30] × Med i totalen Slaktekylling [Oversikt!B26 → 1/0]</t>
        </is>
      </c>
      <c r="F8" s="24" t="inlineStr">
        <is>
          <t>=Korn!C25*IF(Oversikt!$B$7="J",1,0)+Silofor!C26*IF(Oversikt!$B$8="J",1,0)+'Høy'!C24*IF(Oversikt!$B$9="J",1,0)+Potet!C25*IF(Oversikt!$B$10="J",1,0)+Agurk!C26*IF(Oversikt!$B$11="J",1,0)+Tomat!C26*IF(Oversikt!$B$12="J",1,0)+'Frilandsgrønsak'!C25*IF(Oversikt!$B$13="J",1,0)+Gulrot!C25*IF(Oversikt!$B$14="J",1,0)+'Kålrot'!C25*IF(Oversikt!$B$15="J",1,0)+'Mjølk'!C55*IF(Oversikt!$B$16="J",1,0)+Oksar!C52*IF(Oversikt!$B$17="J",1,0)+Mellomkalv!C52*IF(Oversikt!$B$18="J",1,0)+Ammekyr!C57*IF(Oversikt!$B$19="J",1,0)+'Smågris'!C33*IF(Oversikt!$B$20="J",1,0)+Purkering!C34*IF(Oversikt!$B$21="J",1,0)+Slaktegris!C30*IF(Oversikt!$B$22="J",1,0)+Sau!C63*IF(Oversikt!$B$23="J",1,0)+Geit!C51*IF(Oversikt!$B$24="J",1,0)+Egg!C25*IF(Oversikt!$B$25="J",1,0)+Slaktekylling!C30*IF(Oversikt!$B$26="J",1,0)</t>
        </is>
      </c>
    </row>
    <row r="9">
      <c r="A9" s="20" t="inlineStr">
        <is>
          <t>Sum DB utan tilskot</t>
        </is>
      </c>
      <c r="B9" s="21" t="inlineStr">
        <is>
          <t>Utrekna</t>
        </is>
      </c>
      <c r="C9" s="22">
        <f>Korn!C26*IF(Oversikt!$B$7="J",1,0)+Silofor!C27*IF(Oversikt!$B$8="J",1,0)+'Høy'!C25*IF(Oversikt!$B$9="J",1,0)+Potet!C26*IF(Oversikt!$B$10="J",1,0)+Agurk!C27*IF(Oversikt!$B$11="J",1,0)+Tomat!C27*IF(Oversikt!$B$12="J",1,0)+'Frilandsgrønsak'!C26*IF(Oversikt!$B$13="J",1,0)+Gulrot!C26*IF(Oversikt!$B$14="J",1,0)+'Kålrot'!C26*IF(Oversikt!$B$15="J",1,0)+'Mjølk'!C56*IF(Oversikt!$B$16="J",1,0)+Oksar!C53*IF(Oversikt!$B$17="J",1,0)+Mellomkalv!C53*IF(Oversikt!$B$18="J",1,0)+Ammekyr!C58*IF(Oversikt!$B$19="J",1,0)+'Smågris'!C34*IF(Oversikt!$B$20="J",1,0)+Purkering!C35*IF(Oversikt!$B$21="J",1,0)+Slaktegris!C31*IF(Oversikt!$B$22="J",1,0)+Sau!C64*IF(Oversikt!$B$23="J",1,0)+Geit!C52*IF(Oversikt!$B$24="J",1,0)+Egg!C26*IF(Oversikt!$B$25="J",1,0)+Slaktekylling!C31*IF(Oversikt!$B$26="J",1,0)</f>
        <v/>
      </c>
      <c r="D9" s="12" t="inlineStr">
        <is>
          <t>kr</t>
        </is>
      </c>
      <c r="E9" s="23" t="inlineStr">
        <is>
          <t>Sum DB utan tilskot = Dekningsbidrag (DB) utan tilskot [Korn!C26] × Med i totalen Korn [Oversikt!B7 → 1/0] + Dekningsbidrag (DB) utan tilskot [Silofor!C27] × Med i totalen Silofor [Oversikt!B8 → 1/0] + Dekningsbidrag (DB) utan tilskot [Høy!C25] × Med i totalen Høy [Oversikt!B9 → 1/0] + Dekningsbidrag (DB) utan tilskot [Potet!C26] × Med i totalen Potet [Oversikt!B10 → 1/0] + Dekningsbidrag (DB) utan tilskot [Agurk!C27] × Med i totalen Agurk [Oversikt!B11 → 1/0] + Dekningsbidrag (DB) utan tilskot [Tomat!C27] × Med i totalen Tomat [Oversikt!B12 → 1/0] + Dekningsbidrag (DB) utan tilskot [Frilandsgrønsak!C26] × Med i totalen Frilandsgrønsak [Oversikt!B13 → 1/0] + Dekningsbidrag (DB) utan tilskot [Gulrot!C26] × Med i totalen Gulrot [Oversikt!B14 → 1/0] + Dekningsbidrag (DB) utan tilskot [Kålrot!C26] × Med i totalen Kålrot [Oversikt!B15 → 1/0] + Dekningsbidrag (DB) utan tilskot [Mjølk!C56] × Med i totalen Mjølk [Oversikt!B16 → 1/0] + Dekningsbidrag (DB) utan tilskot [Oksar!C53] × Med i totalen Oksar [Oversikt!B17 → 1/0] + Dekningsbidrag (DB) utan tilskot [Mellomkalv!C53] × Med i totalen Mellomkalv [Oversikt!B18 → 1/0] + Dekningsbidrag (DB) utan tilskot [Ammekyr!C58] × Med i totalen Ammekyr [Oversikt!B19 → 1/0] + Dekningsbidrag (DB) utan tilskot [Smågris!C34] × Med i totalen Smågris [Oversikt!B20 → 1/0] + Dekningsbidrag (DB) utan tilskot [Purkering!C35] × Med i totalen Purkering [Oversikt!B21 → 1/0] + Dekningsbidrag (DB) utan tilskot [Slaktegris!C31] × Med i totalen Slaktegris [Oversikt!B22 → 1/0] + Dekningsbidrag (DB) utan tilskot [Sau!C64] × Med i totalen Sau [Oversikt!B23 → 1/0] + Dekningsbidrag (DB) utan tilskot [Geit!C52] × Med i totalen Geit [Oversikt!B24 → 1/0] + Dekningsbidrag (DB) utan tilskot [Egg!C26] × Med i totalen Egg [Oversikt!B25 → 1/0] + Dekningsbidrag (DB) utan tilskot [Slaktekylling!C31] × Med i totalen Slaktekylling [Oversikt!B26 → 1/0]</t>
        </is>
      </c>
      <c r="F9" s="24" t="inlineStr">
        <is>
          <t>=Korn!C26*IF(Oversikt!$B$7="J",1,0)+Silofor!C27*IF(Oversikt!$B$8="J",1,0)+'Høy'!C25*IF(Oversikt!$B$9="J",1,0)+Potet!C26*IF(Oversikt!$B$10="J",1,0)+Agurk!C27*IF(Oversikt!$B$11="J",1,0)+Tomat!C27*IF(Oversikt!$B$12="J",1,0)+'Frilandsgrønsak'!C26*IF(Oversikt!$B$13="J",1,0)+Gulrot!C26*IF(Oversikt!$B$14="J",1,0)+'Kålrot'!C26*IF(Oversikt!$B$15="J",1,0)+'Mjølk'!C56*IF(Oversikt!$B$16="J",1,0)+Oksar!C53*IF(Oversikt!$B$17="J",1,0)+Mellomkalv!C53*IF(Oversikt!$B$18="J",1,0)+Ammekyr!C58*IF(Oversikt!$B$19="J",1,0)+'Smågris'!C34*IF(Oversikt!$B$20="J",1,0)+Purkering!C35*IF(Oversikt!$B$21="J",1,0)+Slaktegris!C31*IF(Oversikt!$B$22="J",1,0)+Sau!C64*IF(Oversikt!$B$23="J",1,0)+Geit!C52*IF(Oversikt!$B$24="J",1,0)+Egg!C26*IF(Oversikt!$B$25="J",1,0)+Slaktekylling!C31*IF(Oversikt!$B$26="J",1,0)</t>
        </is>
      </c>
    </row>
    <row r="10">
      <c r="A10" s="20" t="inlineStr">
        <is>
          <t>Sum tilskot fordelt på produksjonane</t>
        </is>
      </c>
      <c r="B10" s="21" t="inlineStr">
        <is>
          <t>Utrekna</t>
        </is>
      </c>
      <c r="C10" s="22">
        <f>Korn!C11*IF(Oversikt!$B$7="J",1,0)+Silofor!C13*IF(Oversikt!$B$8="J",1,0)+'Høy'!C11*IF(Oversikt!$B$9="J",1,0)+Potet!C11*IF(Oversikt!$B$10="J",1,0)+Agurk!C11*IF(Oversikt!$B$11="J",1,0)+Tomat!C11*IF(Oversikt!$B$12="J",1,0)+'Frilandsgrønsak'!C11*IF(Oversikt!$B$13="J",1,0)+Gulrot!C11*IF(Oversikt!$B$14="J",1,0)+'Kålrot'!C11*IF(Oversikt!$B$15="J",1,0)+'Mjølk'!C21*IF(Oversikt!$B$16="J",1,0)+Oksar!C20*IF(Oversikt!$B$17="J",1,0)+Mellomkalv!C20*IF(Oversikt!$B$18="J",1,0)+Ammekyr!C25*IF(Oversikt!$B$19="J",1,0)+'Smågris'!C17*IF(Oversikt!$B$20="J",1,0)+Purkering!C17*IF(Oversikt!$B$21="J",1,0)+Slaktegris!C16*IF(Oversikt!$B$22="J",1,0)+Sau!C29*IF(Oversikt!$B$23="J",1,0)+Geit!C18*IF(Oversikt!$B$24="J",1,0)+Egg!C11*IF(Oversikt!$B$25="J",1,0)+Slaktekylling!C16*IF(Oversikt!$B$26="J",1,0)</f>
        <v/>
      </c>
      <c r="D10" s="12" t="inlineStr">
        <is>
          <t>kr</t>
        </is>
      </c>
      <c r="E10" s="23" t="inlineStr">
        <is>
          <t>Sum tilskot fordelt på produksjonane = Produksjonstilskot fordelt på produksjonen [Korn!C11] × Med i totalen Korn [Oversikt!B7 → 1/0] + Produksjonstilskot fordelt på produksjonen [Silofor!C13] × Med i totalen Silofor [Oversikt!B8 → 1/0] + Produksjonstilskot fordelt på produksjonen [Høy!C11] × Med i totalen Høy [Oversikt!B9 → 1/0] + Produksjonstilskot fordelt på produksjonen [Potet!C11] × Med i totalen Potet [Oversikt!B10 → 1/0] + Produksjonstilskot fordelt på produksjonen [Agurk!C11] × Med i totalen Agurk [Oversikt!B11 → 1/0] + Produksjonstilskot fordelt på produksjonen [Tomat!C11] × Med i totalen Tomat [Oversikt!B12 → 1/0] + Produksjonstilskot fordelt på produksjonen [Frilandsgrønsak!C11] × Med i totalen Frilandsgrønsak [Oversikt!B13 → 1/0] + Produksjonstilskot fordelt på produksjonen [Gulrot!C11] × Med i totalen Gulrot [Oversikt!B14 → 1/0] + Produksjonstilskot fordelt på produksjonen [Kålrot!C11] × Med i totalen Kålrot [Oversikt!B15 → 1/0] + Produksjonstilskot fordelt på produksjonen [Mjølk!C21] × Med i totalen Mjølk [Oversikt!B16 → 1/0] + Produksjonstilskot fordelt på produksjonen [Oksar!C20] × Med i totalen Oksar [Oversikt!B17 → 1/0] + Produksjonstilskot fordelt på produksjonen [Mellomkalv!C20] × Med i totalen Mellomkalv [Oversikt!B18 → 1/0] + Produksjonstilskot fordelt på produksjonen [Ammekyr!C25] × Med i totalen Ammekyr [Oversikt!B19 → 1/0] + Produksjonstilskot fordelt på produksjonen [Smågris!C17] × Med i totalen Smågris [Oversikt!B20 → 1/0] + Produksjonstilskot fordelt på produksjonen [Purkering!C17] × Med i totalen Purkering [Oversikt!B21 → 1/0] + Produksjonstilskot fordelt på produksjonen [Slaktegris!C16] × Med i totalen Slaktegris [Oversikt!B22 → 1/0] + Produksjonstilskot fordelt på produksjonen [Sau!C29] × Med i totalen Sau [Oversikt!B23 → 1/0] + Produksjonstilskot fordelt på produksjonen [Geit!C18] × Med i totalen Geit [Oversikt!B24 → 1/0] + Produksjonstilskot fordelt på produksjonen [Egg!C11] × Med i totalen Egg [Oversikt!B25 → 1/0] + Produksjonstilskot fordelt på produksjonen [Slaktekylling!C16] × Med i totalen Slaktekylling [Oversikt!B26 → 1/0]</t>
        </is>
      </c>
      <c r="F10" s="24" t="inlineStr">
        <is>
          <t>=Korn!C11*IF(Oversikt!$B$7="J",1,0)+Silofor!C13*IF(Oversikt!$B$8="J",1,0)+'Høy'!C11*IF(Oversikt!$B$9="J",1,0)+Potet!C11*IF(Oversikt!$B$10="J",1,0)+Agurk!C11*IF(Oversikt!$B$11="J",1,0)+Tomat!C11*IF(Oversikt!$B$12="J",1,0)+'Frilandsgrønsak'!C11*IF(Oversikt!$B$13="J",1,0)+Gulrot!C11*IF(Oversikt!$B$14="J",1,0)+'Kålrot'!C11*IF(Oversikt!$B$15="J",1,0)+'Mjølk'!C21*IF(Oversikt!$B$16="J",1,0)+Oksar!C20*IF(Oversikt!$B$17="J",1,0)+Mellomkalv!C20*IF(Oversikt!$B$18="J",1,0)+Ammekyr!C25*IF(Oversikt!$B$19="J",1,0)+'Smågris'!C17*IF(Oversikt!$B$20="J",1,0)+Purkering!C17*IF(Oversikt!$B$21="J",1,0)+Slaktegris!C16*IF(Oversikt!$B$22="J",1,0)+Sau!C29*IF(Oversikt!$B$23="J",1,0)+Geit!C18*IF(Oversikt!$B$24="J",1,0)+Egg!C11*IF(Oversikt!$B$25="J",1,0)+Slaktekylling!C16*IF(Oversikt!$B$26="J",1,0)</t>
        </is>
      </c>
    </row>
    <row r="11">
      <c r="A11" s="25" t="inlineStr">
        <is>
          <t>Sum DB med tilskot</t>
        </is>
      </c>
      <c r="B11" s="26" t="inlineStr">
        <is>
          <t>Utrekna</t>
        </is>
      </c>
      <c r="C11" s="27">
        <f>C9+C10</f>
        <v/>
      </c>
      <c r="D11" s="28" t="inlineStr">
        <is>
          <t>kr</t>
        </is>
      </c>
      <c r="E11" s="29" t="inlineStr">
        <is>
          <t>Sum DB med tilskot = Sum DB utan tilskot [C9] + Sum tilskot fordelt på produksjonane [C10]</t>
        </is>
      </c>
      <c r="F11" s="30" t="inlineStr">
        <is>
          <t>=C9+C10</t>
        </is>
      </c>
    </row>
    <row r="12">
      <c r="A12" s="18" t="inlineStr">
        <is>
          <t>2. INPUT – Inntekter og kostnader som ikkje er fordelt på produksjon</t>
        </is>
      </c>
      <c r="B12" s="19" t="n"/>
      <c r="C12" s="19" t="n"/>
      <c r="D12" s="19" t="n"/>
      <c r="E12" s="19" t="n"/>
      <c r="F12" s="19" t="n"/>
    </row>
    <row r="13">
      <c r="A13" s="20" t="inlineStr">
        <is>
          <t>Andre driftsinntekter, netto (ikkje fordelt på produksjon)</t>
        </is>
      </c>
      <c r="B13" s="24" t="inlineStr">
        <is>
          <t>3090-3092, 3600-3999 o.l.</t>
        </is>
      </c>
      <c r="C13" s="31" t="n">
        <v>228384.97</v>
      </c>
      <c r="D13" s="12" t="inlineStr">
        <is>
          <t>kr</t>
        </is>
      </c>
      <c r="E13" s="24" t="inlineStr">
        <is>
          <t>Input. Hentast frå: 3090-3092, 3600-3999 o.l.. Eksempel: DB totalt minus DB i produksjonane i vedlagt analyse (Prod.øk «Andre inntekter»).</t>
        </is>
      </c>
      <c r="F13" s="32" t="n"/>
    </row>
    <row r="14">
      <c r="A14" s="20" t="inlineStr">
        <is>
          <t>Tilskot som ikkje er fordelt på produksjon</t>
        </is>
      </c>
      <c r="B14" s="24" t="inlineStr">
        <is>
          <t>34xx</t>
        </is>
      </c>
      <c r="C14" s="31" t="n">
        <v>0</v>
      </c>
      <c r="D14" s="12" t="inlineStr">
        <is>
          <t>kr</t>
        </is>
      </c>
      <c r="E14" s="24" t="inlineStr">
        <is>
          <t>Input. Hentast frå: 34xx.</t>
        </is>
      </c>
      <c r="F14" s="32" t="n"/>
    </row>
    <row r="15">
      <c r="A15" s="20" t="inlineStr">
        <is>
          <t>Variable kostnader som ikkje er fordelt</t>
        </is>
      </c>
      <c r="B15" s="24" t="inlineStr">
        <is>
          <t>4xxx</t>
        </is>
      </c>
      <c r="C15" s="31" t="n">
        <v>0</v>
      </c>
      <c r="D15" s="12" t="inlineStr">
        <is>
          <t>kr</t>
        </is>
      </c>
      <c r="E15" s="24" t="inlineStr">
        <is>
          <t>Input. Hentast frå: 4xxx.</t>
        </is>
      </c>
      <c r="F15" s="32" t="n"/>
    </row>
    <row r="16">
      <c r="A16" s="18" t="inlineStr">
        <is>
          <t>3. UTREKNING – Driftsoverskot jordbruk (driftsmessig)</t>
        </is>
      </c>
      <c r="B16" s="19" t="n"/>
      <c r="C16" s="19" t="n"/>
      <c r="D16" s="19" t="n"/>
      <c r="E16" s="19" t="n"/>
      <c r="F16" s="19" t="n"/>
    </row>
    <row r="17">
      <c r="A17" s="20" t="inlineStr">
        <is>
          <t>Sum faste kostnader</t>
        </is>
      </c>
      <c r="B17" s="21" t="inlineStr">
        <is>
          <t>Lenkje frå anna ark</t>
        </is>
      </c>
      <c r="C17" s="13">
        <f>'Faste kostnader'!C102</f>
        <v/>
      </c>
      <c r="D17" s="12" t="inlineStr">
        <is>
          <t>kr</t>
        </is>
      </c>
      <c r="E17" s="23" t="inlineStr">
        <is>
          <t>Sum faste kostnader = Sum faste kostnader jordbruk [Faste kostnader!C102]</t>
        </is>
      </c>
      <c r="F17" s="24" t="inlineStr">
        <is>
          <t>='Faste kostnader'!C102</t>
        </is>
      </c>
    </row>
    <row r="18">
      <c r="A18" s="25" t="inlineStr">
        <is>
          <t>Driftsoverskot jordbruk, driftsmessig</t>
        </is>
      </c>
      <c r="B18" s="26" t="inlineStr">
        <is>
          <t>Utrekna</t>
        </is>
      </c>
      <c r="C18" s="27">
        <f>C11+C13+C14-C15-C17</f>
        <v/>
      </c>
      <c r="D18" s="28" t="inlineStr">
        <is>
          <t>kr</t>
        </is>
      </c>
      <c r="E18" s="29" t="inlineStr">
        <is>
          <t>Driftsoverskot jordbruk, driftsmessig = Sum DB med tilskot [C11] + Andre driftsinntekter, netto (ikkje fordelt på produksjon) [C13] + Tilskot som ikkje er fordelt på produksjon [C14] − Variable kostnader som ikkje er fordelt [C15] − Sum faste kostnader [C17]</t>
        </is>
      </c>
      <c r="F18" s="30" t="inlineStr">
        <is>
          <t>=C11+C13+C14-C15-C17</t>
        </is>
      </c>
    </row>
    <row r="19">
      <c r="A19" s="18" t="inlineStr">
        <is>
          <t>4. INPUT – Skattemessige tal frå rekneskapen (for avstemming)</t>
        </is>
      </c>
      <c r="B19" s="19" t="n"/>
      <c r="C19" s="19" t="n"/>
      <c r="D19" s="19" t="n"/>
      <c r="E19" s="19" t="n"/>
      <c r="F19" s="19" t="n"/>
    </row>
    <row r="20">
      <c r="A20" s="20" t="inlineStr">
        <is>
          <t>Skattemessige avskrivingar</t>
        </is>
      </c>
      <c r="B20" s="24" t="inlineStr">
        <is>
          <t>60xx i saldobalansen (før korrigering)</t>
        </is>
      </c>
      <c r="C20" s="31" t="n">
        <v>8882.16</v>
      </c>
      <c r="D20" s="12" t="inlineStr">
        <is>
          <t>kr</t>
        </is>
      </c>
      <c r="E20" s="24" t="inlineStr">
        <is>
          <t>Input. Hentast frå: 60xx i saldobalansen (før korrigering).</t>
        </is>
      </c>
      <c r="F20" s="32" t="n"/>
    </row>
    <row r="21">
      <c r="A21" s="20" t="inlineStr">
        <is>
          <t>Driftsmessige avskrivingar</t>
        </is>
      </c>
      <c r="B21" s="24" t="inlineStr">
        <is>
          <t>60xx i saldobalansen (etter korrigering)</t>
        </is>
      </c>
      <c r="C21" s="31" t="n">
        <v>246072.11</v>
      </c>
      <c r="D21" s="12" t="inlineStr">
        <is>
          <t>kr</t>
        </is>
      </c>
      <c r="E21" s="24" t="inlineStr">
        <is>
          <t>Input. Hentast frå: 60xx i saldobalansen (etter korrigering).</t>
        </is>
      </c>
      <c r="F21" s="32" t="n"/>
    </row>
    <row r="22">
      <c r="A22" s="20" t="inlineStr">
        <is>
          <t>Beholdningsendring buskap/varelager, skattemessig (+ = auke)</t>
        </is>
      </c>
      <c r="B22" s="24" t="inlineStr">
        <is>
          <t>4090-4099, 4190-4199, 4290-4299, 4690-4699 (før korrigering)</t>
        </is>
      </c>
      <c r="C22" s="31" t="n">
        <v>-58135</v>
      </c>
      <c r="D22" s="12" t="inlineStr">
        <is>
          <t>kr</t>
        </is>
      </c>
      <c r="E22" s="24" t="inlineStr">
        <is>
          <t>Input. Hentast frå: 4090-4099, 4190-4199, 4290-4299, 4690-4699 (før korrigering).</t>
        </is>
      </c>
      <c r="F22" s="32" t="n"/>
    </row>
    <row r="23">
      <c r="A23" s="20" t="inlineStr">
        <is>
          <t>Beholdningsendring buskap/varelager, driftsmessig (+ = auke)</t>
        </is>
      </c>
      <c r="B23" s="24" t="inlineStr">
        <is>
          <t>Etter korrigering til driftsmessige verdiar</t>
        </is>
      </c>
      <c r="C23" s="31" t="n">
        <v>3740</v>
      </c>
      <c r="D23" s="12" t="inlineStr">
        <is>
          <t>kr</t>
        </is>
      </c>
      <c r="E23" s="24" t="inlineStr">
        <is>
          <t>Input. Hentast frå: Etter korrigering til driftsmessige verdiar.</t>
        </is>
      </c>
      <c r="F23" s="32" t="n"/>
    </row>
    <row r="24">
      <c r="A24" s="20" t="inlineStr">
        <is>
          <t>Driftsoverskot jordbruk i rekneskapen (skatt)</t>
        </is>
      </c>
      <c r="B24" s="24" t="inlineStr">
        <is>
          <t>Næringsoppgåve / resultatrekneskap</t>
        </is>
      </c>
      <c r="C24" s="31" t="n">
        <v>403480.85</v>
      </c>
      <c r="D24" s="12" t="inlineStr">
        <is>
          <t>kr</t>
        </is>
      </c>
      <c r="E24" s="24" t="inlineStr">
        <is>
          <t>Input. Hentast frå: Næringsoppgåve / resultatrekneskap.</t>
        </is>
      </c>
      <c r="F24" s="32" t="n"/>
    </row>
    <row r="25">
      <c r="A25" s="18" t="inlineStr">
        <is>
          <t>5. UTREKNING – Frå skattemessig til driftsmessig resultat</t>
        </is>
      </c>
      <c r="B25" s="19" t="n"/>
      <c r="C25" s="19" t="n"/>
      <c r="D25" s="19" t="n"/>
      <c r="E25" s="19" t="n"/>
      <c r="F25" s="19" t="n"/>
    </row>
    <row r="26">
      <c r="A26" s="20" t="inlineStr">
        <is>
          <t>Korrigering avskrivingar (skatt – drift)</t>
        </is>
      </c>
      <c r="B26" s="21" t="inlineStr">
        <is>
          <t>Utrekna</t>
        </is>
      </c>
      <c r="C26" s="22">
        <f>C20-C21</f>
        <v/>
      </c>
      <c r="D26" s="12" t="inlineStr">
        <is>
          <t>kr</t>
        </is>
      </c>
      <c r="E26" s="23" t="inlineStr">
        <is>
          <t>Korrigering avskrivingar (skatt – drift) = Skattemessige avskrivingar [C20] − Driftsmessige avskrivingar [C21]</t>
        </is>
      </c>
      <c r="F26" s="24" t="inlineStr">
        <is>
          <t>=C20-C21</t>
        </is>
      </c>
    </row>
    <row r="27">
      <c r="A27" s="20" t="inlineStr">
        <is>
          <t>Korrigering beholdningsendring (drift – skatt)</t>
        </is>
      </c>
      <c r="B27" s="21" t="inlineStr">
        <is>
          <t>Utrekna</t>
        </is>
      </c>
      <c r="C27" s="22">
        <f>C23-C22</f>
        <v/>
      </c>
      <c r="D27" s="12" t="inlineStr">
        <is>
          <t>kr</t>
        </is>
      </c>
      <c r="E27" s="23" t="inlineStr">
        <is>
          <t>Korrigering beholdningsendring (drift – skatt) = Beholdningsendring buskap/varelager, driftsmessig (+ = auke) [C23] − Beholdningsendring buskap/varelager, skattemessig (+ = auke) [C22]</t>
        </is>
      </c>
      <c r="F27" s="24" t="inlineStr">
        <is>
          <t>=C23-C22</t>
        </is>
      </c>
    </row>
    <row r="28">
      <c r="A28" s="20" t="inlineStr">
        <is>
          <t>Driftsoverskot skattemessig, berekna</t>
        </is>
      </c>
      <c r="B28" s="21" t="inlineStr">
        <is>
          <t>Utrekna</t>
        </is>
      </c>
      <c r="C28" s="22">
        <f>C18-C26-C27</f>
        <v/>
      </c>
      <c r="D28" s="12" t="inlineStr">
        <is>
          <t>kr</t>
        </is>
      </c>
      <c r="E28" s="23" t="inlineStr">
        <is>
          <t>Driftsoverskot skattemessig, berekna = Driftsoverskot jordbruk, driftsmessig [C18] − Korrigering avskrivingar (skatt – drift) [C26] − Korrigering beholdningsendring (drift – skatt) [C27]</t>
        </is>
      </c>
      <c r="F28" s="24" t="inlineStr">
        <is>
          <t>=C18-C26-C27</t>
        </is>
      </c>
    </row>
    <row r="29">
      <c r="A29" s="20" t="inlineStr">
        <is>
          <t>Avvik mot rekneskapen (bør vere 0)</t>
        </is>
      </c>
      <c r="B29" s="21" t="inlineStr">
        <is>
          <t>Utrekna</t>
        </is>
      </c>
      <c r="C29" s="22">
        <f>C24-C28</f>
        <v/>
      </c>
      <c r="D29" s="12" t="inlineStr">
        <is>
          <t>kr</t>
        </is>
      </c>
      <c r="E29" s="23" t="inlineStr">
        <is>
          <t>Avvik mot rekneskapen (bør vere 0) = Driftsoverskot jordbruk i rekneskapen (skatt) [C24] − Driftsoverskot skattemessig, berekna [C28]   (Avvik kjem av postar som ikkje er lagt inn i analysen. Eksempelanalysen har same avvik (−329,66))</t>
        </is>
      </c>
      <c r="F29" s="24" t="inlineStr">
        <is>
          <t>=C24-C28</t>
        </is>
      </c>
    </row>
    <row r="30">
      <c r="A30" s="18" t="inlineStr">
        <is>
          <t>6. INPUT/UTREKNING – Nettoinntekt</t>
        </is>
      </c>
      <c r="B30" s="19" t="n"/>
      <c r="C30" s="19" t="n"/>
      <c r="D30" s="19" t="n"/>
      <c r="E30" s="19" t="n"/>
      <c r="F30" s="19" t="n"/>
    </row>
    <row r="31">
      <c r="A31" s="20" t="inlineStr">
        <is>
          <t>Driftsoverskot andre næringar (skog, leigekøyring o.l.)</t>
        </is>
      </c>
      <c r="B31" s="24" t="inlineStr">
        <is>
          <t>Avdeling 30/70 o.l.</t>
        </is>
      </c>
      <c r="C31" s="31" t="n">
        <v>117592.22</v>
      </c>
      <c r="D31" s="12" t="inlineStr">
        <is>
          <t>kr</t>
        </is>
      </c>
      <c r="E31" s="24" t="inlineStr">
        <is>
          <t>Input. Hentast frå: Avdeling 30/70 o.l..</t>
        </is>
      </c>
      <c r="F31" s="32" t="n"/>
    </row>
    <row r="32">
      <c r="A32" s="20" t="inlineStr">
        <is>
          <t>Renteinntekter</t>
        </is>
      </c>
      <c r="B32" s="24" t="inlineStr">
        <is>
          <t>80xx</t>
        </is>
      </c>
      <c r="C32" s="31" t="n">
        <v>117</v>
      </c>
      <c r="D32" s="12" t="inlineStr">
        <is>
          <t>kr</t>
        </is>
      </c>
      <c r="E32" s="24" t="inlineStr">
        <is>
          <t>Input. Hentast frå: 80xx.</t>
        </is>
      </c>
      <c r="F32" s="32" t="n"/>
    </row>
    <row r="33">
      <c r="A33" s="20" t="inlineStr">
        <is>
          <t>Renteutgifter</t>
        </is>
      </c>
      <c r="B33" s="24" t="inlineStr">
        <is>
          <t>8100-8179</t>
        </is>
      </c>
      <c r="C33" s="31" t="n">
        <v>190284.05</v>
      </c>
      <c r="D33" s="12" t="inlineStr">
        <is>
          <t>kr</t>
        </is>
      </c>
      <c r="E33" s="24" t="inlineStr">
        <is>
          <t>Input. Hentast frå: 8100-8179.</t>
        </is>
      </c>
      <c r="F33" s="32" t="n"/>
    </row>
    <row r="34">
      <c r="A34" s="25" t="inlineStr">
        <is>
          <t>Nettoinntekt næring (driftsmessig)</t>
        </is>
      </c>
      <c r="B34" s="26" t="inlineStr">
        <is>
          <t>Utrekna</t>
        </is>
      </c>
      <c r="C34" s="27">
        <f>C18+C31+C32-C33</f>
        <v/>
      </c>
      <c r="D34" s="28" t="inlineStr">
        <is>
          <t>kr</t>
        </is>
      </c>
      <c r="E34" s="29" t="inlineStr">
        <is>
          <t>Nettoinntekt næring (driftsmessig) = Driftsoverskot jordbruk, driftsmessig [C18] + Driftsoverskot andre næringar (skog, leigekøyring o.l.) [C31] + Renteinntekter [C32] − Renteutgifter [C33]</t>
        </is>
      </c>
      <c r="F34" s="30" t="inlineStr">
        <is>
          <t>=C18+C31+C32-C33</t>
        </is>
      </c>
    </row>
    <row r="35">
      <c r="A35" s="18" t="inlineStr">
        <is>
          <t>7. OUTPUT – Nøkkeltal totaløkonomi</t>
        </is>
      </c>
      <c r="B35" s="19" t="n"/>
      <c r="C35" s="19" t="n"/>
      <c r="D35" s="19" t="n"/>
      <c r="E35" s="19" t="n"/>
      <c r="F35" s="19" t="n"/>
    </row>
    <row r="36">
      <c r="A36" s="25" t="inlineStr">
        <is>
          <t>DB m/tilskot i % av produksjonsinntekter og tilskot</t>
        </is>
      </c>
      <c r="B36" s="26" t="inlineStr">
        <is>
          <t>Utrekna</t>
        </is>
      </c>
      <c r="C36" s="33">
        <f>IF((C7+C10)=0,0,(C11)/(C7+C10))</f>
        <v/>
      </c>
      <c r="D36" s="28" t="inlineStr">
        <is>
          <t>%</t>
        </is>
      </c>
      <c r="E36" s="29" t="inlineStr">
        <is>
          <t>DB m/tilskot i % av produksjonsinntekter og tilskot = Sum DB med tilskot [C11] ÷ (Sum produksjonsinntekter [C7] + Sum tilskot fordelt på produksjonane [C10])</t>
        </is>
      </c>
      <c r="F36" s="30" t="inlineStr">
        <is>
          <t>=IF((C7+C10)=0,0,(C11)/(C7+C10))</t>
        </is>
      </c>
    </row>
    <row r="37">
      <c r="A37" s="25" t="inlineStr">
        <is>
          <t>Tilskot i % av DB m/tilskot</t>
        </is>
      </c>
      <c r="B37" s="26" t="inlineStr">
        <is>
          <t>Utrekna</t>
        </is>
      </c>
      <c r="C37" s="33">
        <f>IF((C11)=0,0,(C10)/(C11))</f>
        <v/>
      </c>
      <c r="D37" s="28" t="inlineStr">
        <is>
          <t>%</t>
        </is>
      </c>
      <c r="E37" s="29" t="inlineStr">
        <is>
          <t>Tilskot i % av DB m/tilskot = Sum tilskot fordelt på produksjonane [C10] ÷ Sum DB med tilskot [C11]</t>
        </is>
      </c>
      <c r="F37" s="30" t="inlineStr">
        <is>
          <t>=IF((C11)=0,0,(C10)/(C11))</t>
        </is>
      </c>
    </row>
    <row r="38">
      <c r="A38" s="25" t="inlineStr">
        <is>
          <t>Faste kostnader i % av DB m/tilskot</t>
        </is>
      </c>
      <c r="B38" s="26" t="inlineStr">
        <is>
          <t>Utrekna</t>
        </is>
      </c>
      <c r="C38" s="33">
        <f>IF((C11)=0,0,(C17)/(C11))</f>
        <v/>
      </c>
      <c r="D38" s="28" t="inlineStr">
        <is>
          <t>%</t>
        </is>
      </c>
      <c r="E38" s="29" t="inlineStr">
        <is>
          <t>Faste kostnader i % av DB m/tilskot = Sum faste kostnader [C17] ÷ Sum DB med tilskot [C11]</t>
        </is>
      </c>
      <c r="F38" s="30" t="inlineStr">
        <is>
          <t>=IF((C11)=0,0,(C17)/(C11))</t>
        </is>
      </c>
    </row>
    <row r="39">
      <c r="A39" s="25" t="inlineStr">
        <is>
          <t>Renteutgifter i % av driftsoverskot</t>
        </is>
      </c>
      <c r="B39" s="26" t="inlineStr">
        <is>
          <t>Utrekna</t>
        </is>
      </c>
      <c r="C39" s="33">
        <f>IF((C18)=0,0,(C33)/(C18))</f>
        <v/>
      </c>
      <c r="D39" s="28" t="inlineStr">
        <is>
          <t>%</t>
        </is>
      </c>
      <c r="E39" s="29" t="inlineStr">
        <is>
          <t>Renteutgifter i % av driftsoverskot = Renteutgifter [C33] ÷ Driftsoverskot jordbruk, driftsmessig [C18]</t>
        </is>
      </c>
      <c r="F39" s="30" t="inlineStr">
        <is>
          <t>=IF((C18)=0,0,(C33)/(C18))</t>
        </is>
      </c>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F10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0" customWidth="1" min="1" max="1"/>
    <col width="34" customWidth="1" min="2" max="2"/>
    <col width="16" customWidth="1" min="3" max="3"/>
    <col width="10" customWidth="1" min="4" max="4"/>
    <col width="78" customWidth="1" min="5" max="5"/>
    <col width="46" customWidth="1" min="6" max="6"/>
  </cols>
  <sheetData>
    <row r="1" ht="22" customHeight="1">
      <c r="A1" s="1" t="inlineStr">
        <is>
          <t>Faste kostnader jordbruk</t>
        </is>
      </c>
    </row>
    <row r="2">
      <c r="A2" s="7" t="inlineStr">
        <is>
          <t>Maskin-, bygnings- og andre faste kostnader. Maskinkostnader og innandørsmekanisering blir fordelt på produksjonane.</t>
        </is>
      </c>
    </row>
    <row r="3">
      <c r="A3" s="8" t="inlineStr">
        <is>
          <t>Fargekodar:  blå tal på gul botn = input (skal fyllast inn)   ·   svart = formel   ·   grøn = lenkje frå anna ark.   Alle kronebeløp er positive (inntekt og kostnad).</t>
        </is>
      </c>
    </row>
    <row r="5">
      <c r="A5" s="17" t="inlineStr">
        <is>
          <t>Post</t>
        </is>
      </c>
      <c r="B5" s="17" t="inlineStr">
        <is>
          <t>Kjelde / Tripletex-konto</t>
        </is>
      </c>
      <c r="C5" s="17" t="inlineStr">
        <is>
          <t>Verdi</t>
        </is>
      </c>
      <c r="D5" s="17" t="inlineStr">
        <is>
          <t>Eining</t>
        </is>
      </c>
      <c r="E5" s="17" t="inlineStr">
        <is>
          <t>Formel forklart (korleis outputen blir rekna)</t>
        </is>
      </c>
      <c r="F5" s="17" t="inlineStr">
        <is>
          <t>Excel-formel</t>
        </is>
      </c>
    </row>
    <row r="6">
      <c r="A6" s="18" t="inlineStr">
        <is>
          <t>1. INPUT – Maskinkostnader (driftsmessige tal)</t>
        </is>
      </c>
      <c r="B6" s="19" t="n"/>
      <c r="C6" s="19" t="n"/>
      <c r="D6" s="19" t="n"/>
      <c r="E6" s="19" t="n"/>
      <c r="F6" s="19" t="n"/>
    </row>
    <row r="7">
      <c r="A7" s="20" t="inlineStr">
        <is>
          <t>Vedlikehald maskiner og reiskap</t>
        </is>
      </c>
      <c r="B7" s="24" t="inlineStr">
        <is>
          <t>6620-6629</t>
        </is>
      </c>
      <c r="C7" s="31" t="n">
        <v>27820.2</v>
      </c>
      <c r="D7" s="12" t="inlineStr">
        <is>
          <t>kr</t>
        </is>
      </c>
      <c r="E7" s="24" t="inlineStr">
        <is>
          <t>Input. Hentast frå: 6620-6629.</t>
        </is>
      </c>
      <c r="F7" s="32" t="n"/>
    </row>
    <row r="8">
      <c r="A8" s="20" t="inlineStr">
        <is>
          <t>Drivstoff</t>
        </is>
      </c>
      <c r="B8" s="24" t="inlineStr">
        <is>
          <t>6250-6259</t>
        </is>
      </c>
      <c r="C8" s="31" t="n">
        <v>18004.8</v>
      </c>
      <c r="D8" s="12" t="inlineStr">
        <is>
          <t>kr</t>
        </is>
      </c>
      <c r="E8" s="24" t="inlineStr">
        <is>
          <t>Input. Hentast frå: 6250-6259.</t>
        </is>
      </c>
      <c r="F8" s="32" t="n"/>
    </row>
    <row r="9">
      <c r="A9" s="20" t="inlineStr">
        <is>
          <t>Maskinleige / leigekøyring / bruk av eigen traktor</t>
        </is>
      </c>
      <c r="B9" s="24" t="inlineStr">
        <is>
          <t>4550-4559, 6400-6409, 6450-6452</t>
        </is>
      </c>
      <c r="C9" s="31" t="n">
        <v>84250.8</v>
      </c>
      <c r="D9" s="12" t="inlineStr">
        <is>
          <t>kr</t>
        </is>
      </c>
      <c r="E9" s="24" t="inlineStr">
        <is>
          <t>Input. Hentast frå: 4550-4559, 6400-6409, 6450-6452.</t>
        </is>
      </c>
      <c r="F9" s="32" t="n"/>
    </row>
    <row r="10">
      <c r="A10" s="20" t="inlineStr">
        <is>
          <t>Leasing maskiner</t>
        </is>
      </c>
      <c r="B10" s="24" t="inlineStr">
        <is>
          <t>6470, 6473</t>
        </is>
      </c>
      <c r="C10" s="31" t="n">
        <v>0</v>
      </c>
      <c r="D10" s="12" t="inlineStr">
        <is>
          <t>kr</t>
        </is>
      </c>
      <c r="E10" s="24" t="inlineStr">
        <is>
          <t>Input. Hentast frå: 6470, 6473.</t>
        </is>
      </c>
      <c r="F10" s="32" t="n"/>
    </row>
    <row r="11">
      <c r="A11" s="20" t="inlineStr">
        <is>
          <t>Avskrivingar maskiner og reiskap (driftsmessige)</t>
        </is>
      </c>
      <c r="B11" s="24" t="inlineStr">
        <is>
          <t>6010</t>
        </is>
      </c>
      <c r="C11" s="31" t="n">
        <v>98462.99000000001</v>
      </c>
      <c r="D11" s="12" t="inlineStr">
        <is>
          <t>kr</t>
        </is>
      </c>
      <c r="E11" s="24" t="inlineStr">
        <is>
          <t>Input. Hentast frå: 6010.</t>
        </is>
      </c>
      <c r="F11" s="32" t="n"/>
    </row>
    <row r="12">
      <c r="A12" s="20" t="inlineStr">
        <is>
          <t>Andre maskinkostnader (forsikring, småreiskap)</t>
        </is>
      </c>
      <c r="B12" s="24" t="inlineStr">
        <is>
          <t>6500-6529, 7503</t>
        </is>
      </c>
      <c r="C12" s="31" t="n">
        <v>14251</v>
      </c>
      <c r="D12" s="12" t="inlineStr">
        <is>
          <t>kr</t>
        </is>
      </c>
      <c r="E12" s="24" t="inlineStr">
        <is>
          <t>Input. Hentast frå: 6500-6529, 7503.</t>
        </is>
      </c>
      <c r="F12" s="32" t="n"/>
    </row>
    <row r="13">
      <c r="A13" s="20" t="inlineStr">
        <is>
          <t>Sum maskinkostnader</t>
        </is>
      </c>
      <c r="B13" s="21" t="inlineStr">
        <is>
          <t>Utrekna</t>
        </is>
      </c>
      <c r="C13" s="22">
        <f>C7+C8+C9+C10+C11+C12</f>
        <v/>
      </c>
      <c r="D13" s="12" t="inlineStr">
        <is>
          <t>kr</t>
        </is>
      </c>
      <c r="E13" s="23" t="inlineStr">
        <is>
          <t>Sum maskinkostnader = Vedlikehald maskiner og reiskap [C7] + Drivstoff [C8] + Maskinleige / leigekøyring / bruk av eigen traktor [C9] + Leasing maskiner [C10] + Avskrivingar maskiner og reiskap (driftsmessige) [C11] + Andre maskinkostnader (forsikring, småreiskap) [C12]</t>
        </is>
      </c>
      <c r="F13" s="24" t="inlineStr">
        <is>
          <t>=C7+C8+C9+C10+C11+C12</t>
        </is>
      </c>
    </row>
    <row r="14">
      <c r="A14" s="18" t="inlineStr">
        <is>
          <t>2. INPUT – Fordeling av maskinkostnader på produksjonane (%)</t>
        </is>
      </c>
      <c r="B14" s="19" t="n"/>
      <c r="C14" s="19" t="n"/>
      <c r="D14" s="19" t="n"/>
      <c r="E14" s="19" t="n"/>
      <c r="F14" s="19" t="n"/>
    </row>
    <row r="15">
      <c r="A15" s="20" t="inlineStr">
        <is>
          <t>Del maskinkostnad – Korn</t>
        </is>
      </c>
      <c r="B15" s="24" t="inlineStr">
        <is>
          <t>Skjønn / timeforbruk</t>
        </is>
      </c>
      <c r="C15" s="34" t="n">
        <v>0</v>
      </c>
      <c r="D15" s="12" t="inlineStr">
        <is>
          <t>%</t>
        </is>
      </c>
      <c r="E15" s="24" t="inlineStr">
        <is>
          <t>Input. Hentast frå: Skjønn / timeforbruk.</t>
        </is>
      </c>
      <c r="F15" s="32" t="n"/>
    </row>
    <row r="16">
      <c r="A16" s="20" t="inlineStr">
        <is>
          <t>Del maskinkostnad – Silofor</t>
        </is>
      </c>
      <c r="B16" s="24" t="inlineStr">
        <is>
          <t>Skjønn / timeforbruk</t>
        </is>
      </c>
      <c r="C16" s="34" t="n">
        <v>0.3218393574128467</v>
      </c>
      <c r="D16" s="12" t="inlineStr">
        <is>
          <t>%</t>
        </is>
      </c>
      <c r="E16" s="24" t="inlineStr">
        <is>
          <t>Input. Hentast frå: Skjønn / timeforbruk. Eksempel: fordelt som i vedlagt analyse</t>
        </is>
      </c>
      <c r="F16" s="32" t="n"/>
    </row>
    <row r="17">
      <c r="A17" s="20" t="inlineStr">
        <is>
          <t>Del maskinkostnad – Høy</t>
        </is>
      </c>
      <c r="B17" s="24" t="inlineStr">
        <is>
          <t>Skjønn / timeforbruk</t>
        </is>
      </c>
      <c r="C17" s="34" t="n">
        <v>0</v>
      </c>
      <c r="D17" s="12" t="inlineStr">
        <is>
          <t>%</t>
        </is>
      </c>
      <c r="E17" s="24" t="inlineStr">
        <is>
          <t>Input. Hentast frå: Skjønn / timeforbruk.</t>
        </is>
      </c>
      <c r="F17" s="32" t="n"/>
    </row>
    <row r="18">
      <c r="A18" s="20" t="inlineStr">
        <is>
          <t>Del maskinkostnad – Potet</t>
        </is>
      </c>
      <c r="B18" s="24" t="inlineStr">
        <is>
          <t>Skjønn / timeforbruk</t>
        </is>
      </c>
      <c r="C18" s="34" t="n">
        <v>0</v>
      </c>
      <c r="D18" s="12" t="inlineStr">
        <is>
          <t>%</t>
        </is>
      </c>
      <c r="E18" s="24" t="inlineStr">
        <is>
          <t>Input. Hentast frå: Skjønn / timeforbruk.</t>
        </is>
      </c>
      <c r="F18" s="32" t="n"/>
    </row>
    <row r="19">
      <c r="A19" s="20" t="inlineStr">
        <is>
          <t>Del maskinkostnad – Agurk</t>
        </is>
      </c>
      <c r="B19" s="24" t="inlineStr">
        <is>
          <t>Skjønn / timeforbruk</t>
        </is>
      </c>
      <c r="C19" s="34" t="n">
        <v>0</v>
      </c>
      <c r="D19" s="12" t="inlineStr">
        <is>
          <t>%</t>
        </is>
      </c>
      <c r="E19" s="24" t="inlineStr">
        <is>
          <t>Input. Hentast frå: Skjønn / timeforbruk.</t>
        </is>
      </c>
      <c r="F19" s="32" t="n"/>
    </row>
    <row r="20">
      <c r="A20" s="20" t="inlineStr">
        <is>
          <t>Del maskinkostnad – Tomat</t>
        </is>
      </c>
      <c r="B20" s="24" t="inlineStr">
        <is>
          <t>Skjønn / timeforbruk</t>
        </is>
      </c>
      <c r="C20" s="34" t="n">
        <v>0</v>
      </c>
      <c r="D20" s="12" t="inlineStr">
        <is>
          <t>%</t>
        </is>
      </c>
      <c r="E20" s="24" t="inlineStr">
        <is>
          <t>Input. Hentast frå: Skjønn / timeforbruk.</t>
        </is>
      </c>
      <c r="F20" s="32" t="n"/>
    </row>
    <row r="21">
      <c r="A21" s="20" t="inlineStr">
        <is>
          <t>Del maskinkostnad – Frilandsgrønsak</t>
        </is>
      </c>
      <c r="B21" s="24" t="inlineStr">
        <is>
          <t>Skjønn / timeforbruk</t>
        </is>
      </c>
      <c r="C21" s="34" t="n">
        <v>0</v>
      </c>
      <c r="D21" s="12" t="inlineStr">
        <is>
          <t>%</t>
        </is>
      </c>
      <c r="E21" s="24" t="inlineStr">
        <is>
          <t>Input. Hentast frå: Skjønn / timeforbruk.</t>
        </is>
      </c>
      <c r="F21" s="32" t="n"/>
    </row>
    <row r="22">
      <c r="A22" s="20" t="inlineStr">
        <is>
          <t>Del maskinkostnad – Gulrot</t>
        </is>
      </c>
      <c r="B22" s="24" t="inlineStr">
        <is>
          <t>Skjønn / timeforbruk</t>
        </is>
      </c>
      <c r="C22" s="34" t="n">
        <v>0</v>
      </c>
      <c r="D22" s="12" t="inlineStr">
        <is>
          <t>%</t>
        </is>
      </c>
      <c r="E22" s="24" t="inlineStr">
        <is>
          <t>Input. Hentast frå: Skjønn / timeforbruk.</t>
        </is>
      </c>
      <c r="F22" s="32" t="n"/>
    </row>
    <row r="23">
      <c r="A23" s="20" t="inlineStr">
        <is>
          <t>Del maskinkostnad – Kålrot</t>
        </is>
      </c>
      <c r="B23" s="24" t="inlineStr">
        <is>
          <t>Skjønn / timeforbruk</t>
        </is>
      </c>
      <c r="C23" s="34" t="n">
        <v>0</v>
      </c>
      <c r="D23" s="12" t="inlineStr">
        <is>
          <t>%</t>
        </is>
      </c>
      <c r="E23" s="24" t="inlineStr">
        <is>
          <t>Input. Hentast frå: Skjønn / timeforbruk.</t>
        </is>
      </c>
      <c r="F23" s="32" t="n"/>
    </row>
    <row r="24">
      <c r="A24" s="20" t="inlineStr">
        <is>
          <t>Del maskinkostnad – Mjølk</t>
        </is>
      </c>
      <c r="B24" s="24" t="inlineStr">
        <is>
          <t>Skjønn / timeforbruk</t>
        </is>
      </c>
      <c r="C24" s="34" t="n">
        <v>0</v>
      </c>
      <c r="D24" s="12" t="inlineStr">
        <is>
          <t>%</t>
        </is>
      </c>
      <c r="E24" s="24" t="inlineStr">
        <is>
          <t>Input. Hentast frå: Skjønn / timeforbruk.</t>
        </is>
      </c>
      <c r="F24" s="32" t="n"/>
    </row>
    <row r="25">
      <c r="A25" s="20" t="inlineStr">
        <is>
          <t>Del maskinkostnad – Oksar</t>
        </is>
      </c>
      <c r="B25" s="24" t="inlineStr">
        <is>
          <t>Skjønn / timeforbruk</t>
        </is>
      </c>
      <c r="C25" s="34" t="n">
        <v>0</v>
      </c>
      <c r="D25" s="12" t="inlineStr">
        <is>
          <t>%</t>
        </is>
      </c>
      <c r="E25" s="24" t="inlineStr">
        <is>
          <t>Input. Hentast frå: Skjønn / timeforbruk.</t>
        </is>
      </c>
      <c r="F25" s="32" t="n"/>
    </row>
    <row r="26">
      <c r="A26" s="20" t="inlineStr">
        <is>
          <t>Del maskinkostnad – Mellomkalv</t>
        </is>
      </c>
      <c r="B26" s="24" t="inlineStr">
        <is>
          <t>Skjønn / timeforbruk</t>
        </is>
      </c>
      <c r="C26" s="34" t="n">
        <v>0</v>
      </c>
      <c r="D26" s="12" t="inlineStr">
        <is>
          <t>%</t>
        </is>
      </c>
      <c r="E26" s="24" t="inlineStr">
        <is>
          <t>Input. Hentast frå: Skjønn / timeforbruk.</t>
        </is>
      </c>
      <c r="F26" s="32" t="n"/>
    </row>
    <row r="27">
      <c r="A27" s="20" t="inlineStr">
        <is>
          <t>Del maskinkostnad – Ammekyr</t>
        </is>
      </c>
      <c r="B27" s="24" t="inlineStr">
        <is>
          <t>Skjønn / timeforbruk</t>
        </is>
      </c>
      <c r="C27" s="34" t="n">
        <v>0.4448482780103726</v>
      </c>
      <c r="D27" s="12" t="inlineStr">
        <is>
          <t>%</t>
        </is>
      </c>
      <c r="E27" s="24" t="inlineStr">
        <is>
          <t>Input. Hentast frå: Skjønn / timeforbruk. Eksempel: fordelt som i vedlagt analyse</t>
        </is>
      </c>
      <c r="F27" s="32" t="n"/>
    </row>
    <row r="28">
      <c r="A28" s="20" t="inlineStr">
        <is>
          <t>Del maskinkostnad – Smågris</t>
        </is>
      </c>
      <c r="B28" s="24" t="inlineStr">
        <is>
          <t>Skjønn / timeforbruk</t>
        </is>
      </c>
      <c r="C28" s="34" t="n">
        <v>0</v>
      </c>
      <c r="D28" s="12" t="inlineStr">
        <is>
          <t>%</t>
        </is>
      </c>
      <c r="E28" s="24" t="inlineStr">
        <is>
          <t>Input. Hentast frå: Skjønn / timeforbruk.</t>
        </is>
      </c>
      <c r="F28" s="32" t="n"/>
    </row>
    <row r="29">
      <c r="A29" s="20" t="inlineStr">
        <is>
          <t>Del maskinkostnad – Purkering</t>
        </is>
      </c>
      <c r="B29" s="24" t="inlineStr">
        <is>
          <t>Skjønn / timeforbruk</t>
        </is>
      </c>
      <c r="C29" s="34" t="n">
        <v>0</v>
      </c>
      <c r="D29" s="12" t="inlineStr">
        <is>
          <t>%</t>
        </is>
      </c>
      <c r="E29" s="24" t="inlineStr">
        <is>
          <t>Input. Hentast frå: Skjønn / timeforbruk.</t>
        </is>
      </c>
      <c r="F29" s="32" t="n"/>
    </row>
    <row r="30">
      <c r="A30" s="20" t="inlineStr">
        <is>
          <t>Del maskinkostnad – Slaktegris</t>
        </is>
      </c>
      <c r="B30" s="24" t="inlineStr">
        <is>
          <t>Skjønn / timeforbruk</t>
        </is>
      </c>
      <c r="C30" s="34" t="n">
        <v>0</v>
      </c>
      <c r="D30" s="12" t="inlineStr">
        <is>
          <t>%</t>
        </is>
      </c>
      <c r="E30" s="24" t="inlineStr">
        <is>
          <t>Input. Hentast frå: Skjønn / timeforbruk.</t>
        </is>
      </c>
      <c r="F30" s="32" t="n"/>
    </row>
    <row r="31">
      <c r="A31" s="20" t="inlineStr">
        <is>
          <t>Del maskinkostnad – Sau</t>
        </is>
      </c>
      <c r="B31" s="24" t="inlineStr">
        <is>
          <t>Skjønn / timeforbruk</t>
        </is>
      </c>
      <c r="C31" s="34" t="n">
        <v>0.1273380565138262</v>
      </c>
      <c r="D31" s="12" t="inlineStr">
        <is>
          <t>%</t>
        </is>
      </c>
      <c r="E31" s="24" t="inlineStr">
        <is>
          <t>Input. Hentast frå: Skjønn / timeforbruk. Eksempel: fordelt som i vedlagt analyse</t>
        </is>
      </c>
      <c r="F31" s="32" t="n"/>
    </row>
    <row r="32">
      <c r="A32" s="20" t="inlineStr">
        <is>
          <t>Del maskinkostnad – Geit</t>
        </is>
      </c>
      <c r="B32" s="24" t="inlineStr">
        <is>
          <t>Skjønn / timeforbruk</t>
        </is>
      </c>
      <c r="C32" s="34" t="n">
        <v>0</v>
      </c>
      <c r="D32" s="12" t="inlineStr">
        <is>
          <t>%</t>
        </is>
      </c>
      <c r="E32" s="24" t="inlineStr">
        <is>
          <t>Input. Hentast frå: Skjønn / timeforbruk.</t>
        </is>
      </c>
      <c r="F32" s="32" t="n"/>
    </row>
    <row r="33">
      <c r="A33" s="20" t="inlineStr">
        <is>
          <t>Del maskinkostnad – Egg</t>
        </is>
      </c>
      <c r="B33" s="24" t="inlineStr">
        <is>
          <t>Skjønn / timeforbruk</t>
        </is>
      </c>
      <c r="C33" s="34" t="n">
        <v>0</v>
      </c>
      <c r="D33" s="12" t="inlineStr">
        <is>
          <t>%</t>
        </is>
      </c>
      <c r="E33" s="24" t="inlineStr">
        <is>
          <t>Input. Hentast frå: Skjønn / timeforbruk.</t>
        </is>
      </c>
      <c r="F33" s="32" t="n"/>
    </row>
    <row r="34">
      <c r="A34" s="20" t="inlineStr">
        <is>
          <t>Del maskinkostnad – Slaktekylling</t>
        </is>
      </c>
      <c r="B34" s="24" t="inlineStr">
        <is>
          <t>Skjønn / timeforbruk</t>
        </is>
      </c>
      <c r="C34" s="34" t="n">
        <v>0</v>
      </c>
      <c r="D34" s="12" t="inlineStr">
        <is>
          <t>%</t>
        </is>
      </c>
      <c r="E34" s="24" t="inlineStr">
        <is>
          <t>Input. Hentast frå: Skjønn / timeforbruk.</t>
        </is>
      </c>
      <c r="F34" s="32" t="n"/>
    </row>
    <row r="35">
      <c r="A35" s="20" t="inlineStr">
        <is>
          <t>Del maskinkostnad – anna bruk (rest)</t>
        </is>
      </c>
      <c r="B35" s="21" t="inlineStr">
        <is>
          <t>Utrekna</t>
        </is>
      </c>
      <c r="C35" s="35">
        <f>1-(C15+C16+C17+C18+C19+C20+C21+C22+C23+C24+C25+C26+C27+C28+C29+C30+C31+C32+C33+C34)</f>
        <v/>
      </c>
      <c r="D35" s="12" t="inlineStr">
        <is>
          <t>%</t>
        </is>
      </c>
      <c r="E35" s="23" t="inlineStr">
        <is>
          <t>Del maskinkostnad – anna bruk (rest) = 1 − (Del maskinkostnad – Korn [C15] + Del maskinkostnad – Silofor [C16] + Del maskinkostnad – Høy [C17] + Del maskinkostnad – Potet [C18] + Del maskinkostnad – Agurk [C19] + Del maskinkostnad – Tomat [C20] + Del maskinkostnad – Frilandsgrønsak [C21] + Del maskinkostnad – Gulrot [C22] + Del maskinkostnad – Kålrot [C23] + Del maskinkostnad – Mjølk [C24] + Del maskinkostnad – Oksar [C25] + Del maskinkostnad – Mellomkalv [C26] + Del maskinkostnad – Ammekyr [C27] + Del maskinkostnad – Smågris [C28] + Del maskinkostnad – Purkering [C29] + Del maskinkostnad – Slaktegris [C30] + Del maskinkostnad – Sau [C31] + Del maskinkostnad – Geit [C32] + Del maskinkostnad – Egg [C33] + Del maskinkostnad – Slaktekylling [C34])</t>
        </is>
      </c>
      <c r="F35" s="24" t="inlineStr">
        <is>
          <t>=1-(C15+C16+C17+C18+C19+C20+C21+C22+C23+C24+C25+C26+C27+C28+C29+C30+C31+C32+C33+C34)</t>
        </is>
      </c>
    </row>
    <row r="36">
      <c r="A36" s="18" t="inlineStr">
        <is>
          <t>3. UTREKNING – Maskinkostnader fordelt (kr)</t>
        </is>
      </c>
      <c r="B36" s="19" t="n"/>
      <c r="C36" s="19" t="n"/>
      <c r="D36" s="19" t="n"/>
      <c r="E36" s="19" t="n"/>
      <c r="F36" s="19" t="n"/>
    </row>
    <row r="37">
      <c r="A37" s="20" t="inlineStr">
        <is>
          <t>Maskinkostnader – Korn</t>
        </is>
      </c>
      <c r="B37" s="21" t="inlineStr">
        <is>
          <t>Utrekna</t>
        </is>
      </c>
      <c r="C37" s="22">
        <f>C13*C15</f>
        <v/>
      </c>
      <c r="D37" s="12" t="inlineStr">
        <is>
          <t>kr</t>
        </is>
      </c>
      <c r="E37" s="23" t="inlineStr">
        <is>
          <t>Maskinkostnader – Korn = Sum maskinkostnader [C13] × Del maskinkostnad – Korn [C15]</t>
        </is>
      </c>
      <c r="F37" s="24" t="inlineStr">
        <is>
          <t>=C13*C15</t>
        </is>
      </c>
    </row>
    <row r="38">
      <c r="A38" s="20" t="inlineStr">
        <is>
          <t>Maskinkostnader – Silofor</t>
        </is>
      </c>
      <c r="B38" s="21" t="inlineStr">
        <is>
          <t>Utrekna</t>
        </is>
      </c>
      <c r="C38" s="22">
        <f>C13*C16</f>
        <v/>
      </c>
      <c r="D38" s="12" t="inlineStr">
        <is>
          <t>kr</t>
        </is>
      </c>
      <c r="E38" s="23" t="inlineStr">
        <is>
          <t>Maskinkostnader – Silofor = Sum maskinkostnader [C13] × Del maskinkostnad – Silofor [C16]</t>
        </is>
      </c>
      <c r="F38" s="24" t="inlineStr">
        <is>
          <t>=C13*C16</t>
        </is>
      </c>
    </row>
    <row r="39">
      <c r="A39" s="20" t="inlineStr">
        <is>
          <t>Maskinkostnader – Høy</t>
        </is>
      </c>
      <c r="B39" s="21" t="inlineStr">
        <is>
          <t>Utrekna</t>
        </is>
      </c>
      <c r="C39" s="22">
        <f>C13*C17</f>
        <v/>
      </c>
      <c r="D39" s="12" t="inlineStr">
        <is>
          <t>kr</t>
        </is>
      </c>
      <c r="E39" s="23" t="inlineStr">
        <is>
          <t>Maskinkostnader – Høy = Sum maskinkostnader [C13] × Del maskinkostnad – Høy [C17]</t>
        </is>
      </c>
      <c r="F39" s="24" t="inlineStr">
        <is>
          <t>=C13*C17</t>
        </is>
      </c>
    </row>
    <row r="40">
      <c r="A40" s="20" t="inlineStr">
        <is>
          <t>Maskinkostnader – Potet</t>
        </is>
      </c>
      <c r="B40" s="21" t="inlineStr">
        <is>
          <t>Utrekna</t>
        </is>
      </c>
      <c r="C40" s="22">
        <f>C13*C18</f>
        <v/>
      </c>
      <c r="D40" s="12" t="inlineStr">
        <is>
          <t>kr</t>
        </is>
      </c>
      <c r="E40" s="23" t="inlineStr">
        <is>
          <t>Maskinkostnader – Potet = Sum maskinkostnader [C13] × Del maskinkostnad – Potet [C18]</t>
        </is>
      </c>
      <c r="F40" s="24" t="inlineStr">
        <is>
          <t>=C13*C18</t>
        </is>
      </c>
    </row>
    <row r="41">
      <c r="A41" s="20" t="inlineStr">
        <is>
          <t>Maskinkostnader – Agurk</t>
        </is>
      </c>
      <c r="B41" s="21" t="inlineStr">
        <is>
          <t>Utrekna</t>
        </is>
      </c>
      <c r="C41" s="22">
        <f>C13*C19</f>
        <v/>
      </c>
      <c r="D41" s="12" t="inlineStr">
        <is>
          <t>kr</t>
        </is>
      </c>
      <c r="E41" s="23" t="inlineStr">
        <is>
          <t>Maskinkostnader – Agurk = Sum maskinkostnader [C13] × Del maskinkostnad – Agurk [C19]</t>
        </is>
      </c>
      <c r="F41" s="24" t="inlineStr">
        <is>
          <t>=C13*C19</t>
        </is>
      </c>
    </row>
    <row r="42">
      <c r="A42" s="20" t="inlineStr">
        <is>
          <t>Maskinkostnader – Tomat</t>
        </is>
      </c>
      <c r="B42" s="21" t="inlineStr">
        <is>
          <t>Utrekna</t>
        </is>
      </c>
      <c r="C42" s="22">
        <f>C13*C20</f>
        <v/>
      </c>
      <c r="D42" s="12" t="inlineStr">
        <is>
          <t>kr</t>
        </is>
      </c>
      <c r="E42" s="23" t="inlineStr">
        <is>
          <t>Maskinkostnader – Tomat = Sum maskinkostnader [C13] × Del maskinkostnad – Tomat [C20]</t>
        </is>
      </c>
      <c r="F42" s="24" t="inlineStr">
        <is>
          <t>=C13*C20</t>
        </is>
      </c>
    </row>
    <row r="43">
      <c r="A43" s="20" t="inlineStr">
        <is>
          <t>Maskinkostnader – Frilandsgrønsak</t>
        </is>
      </c>
      <c r="B43" s="21" t="inlineStr">
        <is>
          <t>Utrekna</t>
        </is>
      </c>
      <c r="C43" s="22">
        <f>C13*C21</f>
        <v/>
      </c>
      <c r="D43" s="12" t="inlineStr">
        <is>
          <t>kr</t>
        </is>
      </c>
      <c r="E43" s="23" t="inlineStr">
        <is>
          <t>Maskinkostnader – Frilandsgrønsak = Sum maskinkostnader [C13] × Del maskinkostnad – Frilandsgrønsak [C21]</t>
        </is>
      </c>
      <c r="F43" s="24" t="inlineStr">
        <is>
          <t>=C13*C21</t>
        </is>
      </c>
    </row>
    <row r="44">
      <c r="A44" s="20" t="inlineStr">
        <is>
          <t>Maskinkostnader – Gulrot</t>
        </is>
      </c>
      <c r="B44" s="21" t="inlineStr">
        <is>
          <t>Utrekna</t>
        </is>
      </c>
      <c r="C44" s="22">
        <f>C13*C22</f>
        <v/>
      </c>
      <c r="D44" s="12" t="inlineStr">
        <is>
          <t>kr</t>
        </is>
      </c>
      <c r="E44" s="23" t="inlineStr">
        <is>
          <t>Maskinkostnader – Gulrot = Sum maskinkostnader [C13] × Del maskinkostnad – Gulrot [C22]</t>
        </is>
      </c>
      <c r="F44" s="24" t="inlineStr">
        <is>
          <t>=C13*C22</t>
        </is>
      </c>
    </row>
    <row r="45">
      <c r="A45" s="20" t="inlineStr">
        <is>
          <t>Maskinkostnader – Kålrot</t>
        </is>
      </c>
      <c r="B45" s="21" t="inlineStr">
        <is>
          <t>Utrekna</t>
        </is>
      </c>
      <c r="C45" s="22">
        <f>C13*C23</f>
        <v/>
      </c>
      <c r="D45" s="12" t="inlineStr">
        <is>
          <t>kr</t>
        </is>
      </c>
      <c r="E45" s="23" t="inlineStr">
        <is>
          <t>Maskinkostnader – Kålrot = Sum maskinkostnader [C13] × Del maskinkostnad – Kålrot [C23]</t>
        </is>
      </c>
      <c r="F45" s="24" t="inlineStr">
        <is>
          <t>=C13*C23</t>
        </is>
      </c>
    </row>
    <row r="46">
      <c r="A46" s="20" t="inlineStr">
        <is>
          <t>Maskinkostnader – Mjølk</t>
        </is>
      </c>
      <c r="B46" s="21" t="inlineStr">
        <is>
          <t>Utrekna</t>
        </is>
      </c>
      <c r="C46" s="22">
        <f>C13*C24</f>
        <v/>
      </c>
      <c r="D46" s="12" t="inlineStr">
        <is>
          <t>kr</t>
        </is>
      </c>
      <c r="E46" s="23" t="inlineStr">
        <is>
          <t>Maskinkostnader – Mjølk = Sum maskinkostnader [C13] × Del maskinkostnad – Mjølk [C24]</t>
        </is>
      </c>
      <c r="F46" s="24" t="inlineStr">
        <is>
          <t>=C13*C24</t>
        </is>
      </c>
    </row>
    <row r="47">
      <c r="A47" s="20" t="inlineStr">
        <is>
          <t>Maskinkostnader – Oksar</t>
        </is>
      </c>
      <c r="B47" s="21" t="inlineStr">
        <is>
          <t>Utrekna</t>
        </is>
      </c>
      <c r="C47" s="22">
        <f>C13*C25</f>
        <v/>
      </c>
      <c r="D47" s="12" t="inlineStr">
        <is>
          <t>kr</t>
        </is>
      </c>
      <c r="E47" s="23" t="inlineStr">
        <is>
          <t>Maskinkostnader – Oksar = Sum maskinkostnader [C13] × Del maskinkostnad – Oksar [C25]</t>
        </is>
      </c>
      <c r="F47" s="24" t="inlineStr">
        <is>
          <t>=C13*C25</t>
        </is>
      </c>
    </row>
    <row r="48">
      <c r="A48" s="20" t="inlineStr">
        <is>
          <t>Maskinkostnader – Mellomkalv</t>
        </is>
      </c>
      <c r="B48" s="21" t="inlineStr">
        <is>
          <t>Utrekna</t>
        </is>
      </c>
      <c r="C48" s="22">
        <f>C13*C26</f>
        <v/>
      </c>
      <c r="D48" s="12" t="inlineStr">
        <is>
          <t>kr</t>
        </is>
      </c>
      <c r="E48" s="23" t="inlineStr">
        <is>
          <t>Maskinkostnader – Mellomkalv = Sum maskinkostnader [C13] × Del maskinkostnad – Mellomkalv [C26]</t>
        </is>
      </c>
      <c r="F48" s="24" t="inlineStr">
        <is>
          <t>=C13*C26</t>
        </is>
      </c>
    </row>
    <row r="49">
      <c r="A49" s="20" t="inlineStr">
        <is>
          <t>Maskinkostnader – Ammekyr</t>
        </is>
      </c>
      <c r="B49" s="21" t="inlineStr">
        <is>
          <t>Utrekna</t>
        </is>
      </c>
      <c r="C49" s="22">
        <f>C13*C27</f>
        <v/>
      </c>
      <c r="D49" s="12" t="inlineStr">
        <is>
          <t>kr</t>
        </is>
      </c>
      <c r="E49" s="23" t="inlineStr">
        <is>
          <t>Maskinkostnader – Ammekyr = Sum maskinkostnader [C13] × Del maskinkostnad – Ammekyr [C27]</t>
        </is>
      </c>
      <c r="F49" s="24" t="inlineStr">
        <is>
          <t>=C13*C27</t>
        </is>
      </c>
    </row>
    <row r="50">
      <c r="A50" s="20" t="inlineStr">
        <is>
          <t>Maskinkostnader – Smågris</t>
        </is>
      </c>
      <c r="B50" s="21" t="inlineStr">
        <is>
          <t>Utrekna</t>
        </is>
      </c>
      <c r="C50" s="22">
        <f>C13*C28</f>
        <v/>
      </c>
      <c r="D50" s="12" t="inlineStr">
        <is>
          <t>kr</t>
        </is>
      </c>
      <c r="E50" s="23" t="inlineStr">
        <is>
          <t>Maskinkostnader – Smågris = Sum maskinkostnader [C13] × Del maskinkostnad – Smågris [C28]</t>
        </is>
      </c>
      <c r="F50" s="24" t="inlineStr">
        <is>
          <t>=C13*C28</t>
        </is>
      </c>
    </row>
    <row r="51">
      <c r="A51" s="20" t="inlineStr">
        <is>
          <t>Maskinkostnader – Purkering</t>
        </is>
      </c>
      <c r="B51" s="21" t="inlineStr">
        <is>
          <t>Utrekna</t>
        </is>
      </c>
      <c r="C51" s="22">
        <f>C13*C29</f>
        <v/>
      </c>
      <c r="D51" s="12" t="inlineStr">
        <is>
          <t>kr</t>
        </is>
      </c>
      <c r="E51" s="23" t="inlineStr">
        <is>
          <t>Maskinkostnader – Purkering = Sum maskinkostnader [C13] × Del maskinkostnad – Purkering [C29]</t>
        </is>
      </c>
      <c r="F51" s="24" t="inlineStr">
        <is>
          <t>=C13*C29</t>
        </is>
      </c>
    </row>
    <row r="52">
      <c r="A52" s="20" t="inlineStr">
        <is>
          <t>Maskinkostnader – Slaktegris</t>
        </is>
      </c>
      <c r="B52" s="21" t="inlineStr">
        <is>
          <t>Utrekna</t>
        </is>
      </c>
      <c r="C52" s="22">
        <f>C13*C30</f>
        <v/>
      </c>
      <c r="D52" s="12" t="inlineStr">
        <is>
          <t>kr</t>
        </is>
      </c>
      <c r="E52" s="23" t="inlineStr">
        <is>
          <t>Maskinkostnader – Slaktegris = Sum maskinkostnader [C13] × Del maskinkostnad – Slaktegris [C30]</t>
        </is>
      </c>
      <c r="F52" s="24" t="inlineStr">
        <is>
          <t>=C13*C30</t>
        </is>
      </c>
    </row>
    <row r="53">
      <c r="A53" s="20" t="inlineStr">
        <is>
          <t>Maskinkostnader – Sau</t>
        </is>
      </c>
      <c r="B53" s="21" t="inlineStr">
        <is>
          <t>Utrekna</t>
        </is>
      </c>
      <c r="C53" s="22">
        <f>C13*C31</f>
        <v/>
      </c>
      <c r="D53" s="12" t="inlineStr">
        <is>
          <t>kr</t>
        </is>
      </c>
      <c r="E53" s="23" t="inlineStr">
        <is>
          <t>Maskinkostnader – Sau = Sum maskinkostnader [C13] × Del maskinkostnad – Sau [C31]</t>
        </is>
      </c>
      <c r="F53" s="24" t="inlineStr">
        <is>
          <t>=C13*C31</t>
        </is>
      </c>
    </row>
    <row r="54">
      <c r="A54" s="20" t="inlineStr">
        <is>
          <t>Maskinkostnader – Geit</t>
        </is>
      </c>
      <c r="B54" s="21" t="inlineStr">
        <is>
          <t>Utrekna</t>
        </is>
      </c>
      <c r="C54" s="22">
        <f>C13*C32</f>
        <v/>
      </c>
      <c r="D54" s="12" t="inlineStr">
        <is>
          <t>kr</t>
        </is>
      </c>
      <c r="E54" s="23" t="inlineStr">
        <is>
          <t>Maskinkostnader – Geit = Sum maskinkostnader [C13] × Del maskinkostnad – Geit [C32]</t>
        </is>
      </c>
      <c r="F54" s="24" t="inlineStr">
        <is>
          <t>=C13*C32</t>
        </is>
      </c>
    </row>
    <row r="55">
      <c r="A55" s="20" t="inlineStr">
        <is>
          <t>Maskinkostnader – Egg</t>
        </is>
      </c>
      <c r="B55" s="21" t="inlineStr">
        <is>
          <t>Utrekna</t>
        </is>
      </c>
      <c r="C55" s="22">
        <f>C13*C33</f>
        <v/>
      </c>
      <c r="D55" s="12" t="inlineStr">
        <is>
          <t>kr</t>
        </is>
      </c>
      <c r="E55" s="23" t="inlineStr">
        <is>
          <t>Maskinkostnader – Egg = Sum maskinkostnader [C13] × Del maskinkostnad – Egg [C33]</t>
        </is>
      </c>
      <c r="F55" s="24" t="inlineStr">
        <is>
          <t>=C13*C33</t>
        </is>
      </c>
    </row>
    <row r="56">
      <c r="A56" s="20" t="inlineStr">
        <is>
          <t>Maskinkostnader – Slaktekylling</t>
        </is>
      </c>
      <c r="B56" s="21" t="inlineStr">
        <is>
          <t>Utrekna</t>
        </is>
      </c>
      <c r="C56" s="22">
        <f>C13*C34</f>
        <v/>
      </c>
      <c r="D56" s="12" t="inlineStr">
        <is>
          <t>kr</t>
        </is>
      </c>
      <c r="E56" s="23" t="inlineStr">
        <is>
          <t>Maskinkostnader – Slaktekylling = Sum maskinkostnader [C13] × Del maskinkostnad – Slaktekylling [C34]</t>
        </is>
      </c>
      <c r="F56" s="24" t="inlineStr">
        <is>
          <t>=C13*C34</t>
        </is>
      </c>
    </row>
    <row r="57">
      <c r="A57" s="20" t="inlineStr">
        <is>
          <t>Maskinkostnader – anna bruk</t>
        </is>
      </c>
      <c r="B57" s="21" t="inlineStr">
        <is>
          <t>Utrekna</t>
        </is>
      </c>
      <c r="C57" s="22">
        <f>C13*C35</f>
        <v/>
      </c>
      <c r="D57" s="12" t="inlineStr">
        <is>
          <t>kr</t>
        </is>
      </c>
      <c r="E57" s="23" t="inlineStr">
        <is>
          <t>Maskinkostnader – anna bruk = Sum maskinkostnader [C13] × Del maskinkostnad – anna bruk (rest) [C35]</t>
        </is>
      </c>
      <c r="F57" s="24" t="inlineStr">
        <is>
          <t>=C13*C35</t>
        </is>
      </c>
    </row>
    <row r="58">
      <c r="A58" s="18" t="inlineStr">
        <is>
          <t>4. INPUT – Bygningskostnader</t>
        </is>
      </c>
      <c r="B58" s="19" t="n"/>
      <c r="C58" s="19" t="n"/>
      <c r="D58" s="19" t="n"/>
      <c r="E58" s="19" t="n"/>
      <c r="F58" s="19" t="n"/>
    </row>
    <row r="59">
      <c r="A59" s="20" t="inlineStr">
        <is>
          <t>Vedlikehald driftsbygningar og installasjonar</t>
        </is>
      </c>
      <c r="B59" s="24" t="inlineStr">
        <is>
          <t>6600-6604, 6640</t>
        </is>
      </c>
      <c r="C59" s="31" t="n">
        <v>94769.39</v>
      </c>
      <c r="D59" s="12" t="inlineStr">
        <is>
          <t>kr</t>
        </is>
      </c>
      <c r="E59" s="24" t="inlineStr">
        <is>
          <t>Input. Hentast frå: 6600-6604, 6640.</t>
        </is>
      </c>
      <c r="F59" s="32" t="n"/>
    </row>
    <row r="60">
      <c r="A60" s="20" t="inlineStr">
        <is>
          <t>Avskrivingar bygningar og anlegg (driftsmessige)</t>
        </is>
      </c>
      <c r="B60" s="24" t="inlineStr">
        <is>
          <t>6000-6005, 6030, 6070-6092</t>
        </is>
      </c>
      <c r="C60" s="31" t="n">
        <v>147609.12</v>
      </c>
      <c r="D60" s="12" t="inlineStr">
        <is>
          <t>kr</t>
        </is>
      </c>
      <c r="E60" s="24" t="inlineStr">
        <is>
          <t>Input. Hentast frå: 6000-6005, 6030, 6070-6092.</t>
        </is>
      </c>
      <c r="F60" s="32" t="n"/>
    </row>
    <row r="61">
      <c r="A61" s="20" t="inlineStr">
        <is>
          <t>Leasing / leige bygningar</t>
        </is>
      </c>
      <c r="B61" s="24" t="inlineStr">
        <is>
          <t>6300-6301, 6410</t>
        </is>
      </c>
      <c r="C61" s="31" t="n">
        <v>0</v>
      </c>
      <c r="D61" s="12" t="inlineStr">
        <is>
          <t>kr</t>
        </is>
      </c>
      <c r="E61" s="24" t="inlineStr">
        <is>
          <t>Input. Hentast frå: 6300-6301, 6410.</t>
        </is>
      </c>
      <c r="F61" s="32" t="n"/>
    </row>
    <row r="62">
      <c r="A62" s="20" t="inlineStr">
        <is>
          <t>Andre bygningskostnader (vatn, renovasjon, reinhald, forsikring)</t>
        </is>
      </c>
      <c r="B62" s="24" t="inlineStr">
        <is>
          <t>6260-6262, 6320, 6340, 6360, 6390, 6541, 6563, 7501</t>
        </is>
      </c>
      <c r="C62" s="31" t="n">
        <v>36721</v>
      </c>
      <c r="D62" s="12" t="inlineStr">
        <is>
          <t>kr</t>
        </is>
      </c>
      <c r="E62" s="24" t="inlineStr">
        <is>
          <t>Input. Hentast frå: 6260-6262, 6320, 6340, 6360, 6390, 6541, 6563, 7501.</t>
        </is>
      </c>
      <c r="F62" s="32" t="n"/>
    </row>
    <row r="63">
      <c r="A63" s="20" t="inlineStr">
        <is>
          <t>Sum bygningskostnader</t>
        </is>
      </c>
      <c r="B63" s="21" t="inlineStr">
        <is>
          <t>Utrekna</t>
        </is>
      </c>
      <c r="C63" s="22">
        <f>C59+C60+C61+C62</f>
        <v/>
      </c>
      <c r="D63" s="12" t="inlineStr">
        <is>
          <t>kr</t>
        </is>
      </c>
      <c r="E63" s="23" t="inlineStr">
        <is>
          <t>Sum bygningskostnader = Vedlikehald driftsbygningar og installasjonar [C59] + Avskrivingar bygningar og anlegg (driftsmessige) [C60] + Leasing / leige bygningar [C61] + Andre bygningskostnader (vatn, renovasjon, reinhald, forsikring) [C62]</t>
        </is>
      </c>
      <c r="F63" s="24" t="inlineStr">
        <is>
          <t>=C59+C60+C61+C62</t>
        </is>
      </c>
    </row>
    <row r="64">
      <c r="A64" s="18" t="inlineStr">
        <is>
          <t>5. INPUT – Herav innandørsmekanisering, fordelt på husdyrproduksjonane (kr)</t>
        </is>
      </c>
      <c r="B64" s="19" t="n"/>
      <c r="C64" s="19" t="n"/>
      <c r="D64" s="19" t="n"/>
      <c r="E64" s="19" t="n"/>
      <c r="F64" s="19" t="n"/>
    </row>
    <row r="65">
      <c r="A65" s="20" t="inlineStr">
        <is>
          <t>Kostnader til innandørsmekanisering (kontoar)</t>
        </is>
      </c>
      <c r="B65" s="24" t="inlineStr">
        <is>
          <t>6030, 6541, 6563, 6640</t>
        </is>
      </c>
      <c r="C65" s="31" t="n">
        <v>95725.21000000001</v>
      </c>
      <c r="D65" s="12" t="inlineStr">
        <is>
          <t>kr</t>
        </is>
      </c>
      <c r="E65" s="24" t="inlineStr">
        <is>
          <t>Input. Hentast frå: 6030, 6541, 6563, 6640. Herav-post: kontoane er kopla til «Innandørsmek.» i kontoplanen og ligg alt i bygnings- og andre faste kostnader</t>
        </is>
      </c>
      <c r="F65" s="32" t="n"/>
    </row>
    <row r="66">
      <c r="A66" s="20" t="inlineStr">
        <is>
          <t>Del innandørsmekanisering – Mjølk</t>
        </is>
      </c>
      <c r="B66" s="24" t="inlineStr">
        <is>
          <t>Fordelingsnøkkel (fôr innandørs)</t>
        </is>
      </c>
      <c r="C66" s="34" t="n">
        <v>0</v>
      </c>
      <c r="D66" s="12" t="inlineStr">
        <is>
          <t>%</t>
        </is>
      </c>
      <c r="E66" s="24" t="inlineStr">
        <is>
          <t>Input. Hentast frå: Fordelingsnøkkel (fôr innandørs).</t>
        </is>
      </c>
      <c r="F66" s="32" t="n"/>
    </row>
    <row r="67">
      <c r="A67" s="20" t="inlineStr">
        <is>
          <t>Del innandørsmekanisering – Oksar</t>
        </is>
      </c>
      <c r="B67" s="24" t="inlineStr">
        <is>
          <t>Fordelingsnøkkel (fôr innandørs)</t>
        </is>
      </c>
      <c r="C67" s="34" t="n">
        <v>0</v>
      </c>
      <c r="D67" s="12" t="inlineStr">
        <is>
          <t>%</t>
        </is>
      </c>
      <c r="E67" s="24" t="inlineStr">
        <is>
          <t>Input. Hentast frå: Fordelingsnøkkel (fôr innandørs).</t>
        </is>
      </c>
      <c r="F67" s="32" t="n"/>
    </row>
    <row r="68">
      <c r="A68" s="20" t="inlineStr">
        <is>
          <t>Del innandørsmekanisering – Mellomkalv</t>
        </is>
      </c>
      <c r="B68" s="24" t="inlineStr">
        <is>
          <t>Fordelingsnøkkel (fôr innandørs)</t>
        </is>
      </c>
      <c r="C68" s="34" t="n">
        <v>0</v>
      </c>
      <c r="D68" s="12" t="inlineStr">
        <is>
          <t>%</t>
        </is>
      </c>
      <c r="E68" s="24" t="inlineStr">
        <is>
          <t>Input. Hentast frå: Fordelingsnøkkel (fôr innandørs).</t>
        </is>
      </c>
      <c r="F68" s="32" t="n"/>
    </row>
    <row r="69">
      <c r="A69" s="20" t="inlineStr">
        <is>
          <t>Del innandørsmekanisering – Ammekyr</t>
        </is>
      </c>
      <c r="B69" s="24" t="inlineStr">
        <is>
          <t>Fordelingsnøkkel (fôr innandørs)</t>
        </is>
      </c>
      <c r="C69" s="34" t="n">
        <v>0.7593149181913521</v>
      </c>
      <c r="D69" s="12" t="inlineStr">
        <is>
          <t>%</t>
        </is>
      </c>
      <c r="E69" s="24" t="inlineStr">
        <is>
          <t>Input. Hentast frå: Fordelingsnøkkel (fôr innandørs).</t>
        </is>
      </c>
      <c r="F69" s="32" t="n"/>
    </row>
    <row r="70">
      <c r="A70" s="20" t="inlineStr">
        <is>
          <t>Del innandørsmekanisering – Smågris</t>
        </is>
      </c>
      <c r="B70" s="24" t="inlineStr">
        <is>
          <t>Fordelingsnøkkel (fôr innandørs)</t>
        </is>
      </c>
      <c r="C70" s="34" t="n">
        <v>0</v>
      </c>
      <c r="D70" s="12" t="inlineStr">
        <is>
          <t>%</t>
        </is>
      </c>
      <c r="E70" s="24" t="inlineStr">
        <is>
          <t>Input. Hentast frå: Fordelingsnøkkel (fôr innandørs).</t>
        </is>
      </c>
      <c r="F70" s="32" t="n"/>
    </row>
    <row r="71">
      <c r="A71" s="20" t="inlineStr">
        <is>
          <t>Del innandørsmekanisering – Purkering</t>
        </is>
      </c>
      <c r="B71" s="24" t="inlineStr">
        <is>
          <t>Fordelingsnøkkel (fôr innandørs)</t>
        </is>
      </c>
      <c r="C71" s="34" t="n">
        <v>0</v>
      </c>
      <c r="D71" s="12" t="inlineStr">
        <is>
          <t>%</t>
        </is>
      </c>
      <c r="E71" s="24" t="inlineStr">
        <is>
          <t>Input. Hentast frå: Fordelingsnøkkel (fôr innandørs).</t>
        </is>
      </c>
      <c r="F71" s="32" t="n"/>
    </row>
    <row r="72">
      <c r="A72" s="20" t="inlineStr">
        <is>
          <t>Del innandørsmekanisering – Slaktegris</t>
        </is>
      </c>
      <c r="B72" s="24" t="inlineStr">
        <is>
          <t>Fordelingsnøkkel (fôr innandørs)</t>
        </is>
      </c>
      <c r="C72" s="34" t="n">
        <v>0</v>
      </c>
      <c r="D72" s="12" t="inlineStr">
        <is>
          <t>%</t>
        </is>
      </c>
      <c r="E72" s="24" t="inlineStr">
        <is>
          <t>Input. Hentast frå: Fordelingsnøkkel (fôr innandørs).</t>
        </is>
      </c>
      <c r="F72" s="32" t="n"/>
    </row>
    <row r="73">
      <c r="A73" s="20" t="inlineStr">
        <is>
          <t>Del innandørsmekanisering – Sau</t>
        </is>
      </c>
      <c r="B73" s="24" t="inlineStr">
        <is>
          <t>Fordelingsnøkkel (fôr innandørs)</t>
        </is>
      </c>
      <c r="C73" s="34" t="n">
        <v>0.2406850818086479</v>
      </c>
      <c r="D73" s="12" t="inlineStr">
        <is>
          <t>%</t>
        </is>
      </c>
      <c r="E73" s="24" t="inlineStr">
        <is>
          <t>Input. Hentast frå: Fordelingsnøkkel (fôr innandørs).</t>
        </is>
      </c>
      <c r="F73" s="32" t="n"/>
    </row>
    <row r="74">
      <c r="A74" s="20" t="inlineStr">
        <is>
          <t>Del innandørsmekanisering – Geit</t>
        </is>
      </c>
      <c r="B74" s="24" t="inlineStr">
        <is>
          <t>Fordelingsnøkkel (fôr innandørs)</t>
        </is>
      </c>
      <c r="C74" s="34" t="n">
        <v>0</v>
      </c>
      <c r="D74" s="12" t="inlineStr">
        <is>
          <t>%</t>
        </is>
      </c>
      <c r="E74" s="24" t="inlineStr">
        <is>
          <t>Input. Hentast frå: Fordelingsnøkkel (fôr innandørs).</t>
        </is>
      </c>
      <c r="F74" s="32" t="n"/>
    </row>
    <row r="75">
      <c r="A75" s="20" t="inlineStr">
        <is>
          <t>Del innandørsmekanisering – Egg</t>
        </is>
      </c>
      <c r="B75" s="24" t="inlineStr">
        <is>
          <t>Fordelingsnøkkel (fôr innandørs)</t>
        </is>
      </c>
      <c r="C75" s="34" t="n">
        <v>0</v>
      </c>
      <c r="D75" s="12" t="inlineStr">
        <is>
          <t>%</t>
        </is>
      </c>
      <c r="E75" s="24" t="inlineStr">
        <is>
          <t>Input. Hentast frå: Fordelingsnøkkel (fôr innandørs).</t>
        </is>
      </c>
      <c r="F75" s="32" t="n"/>
    </row>
    <row r="76">
      <c r="A76" s="20" t="inlineStr">
        <is>
          <t>Del innandørsmekanisering – Slaktekylling</t>
        </is>
      </c>
      <c r="B76" s="24" t="inlineStr">
        <is>
          <t>Fordelingsnøkkel (fôr innandørs)</t>
        </is>
      </c>
      <c r="C76" s="34" t="n">
        <v>0</v>
      </c>
      <c r="D76" s="12" t="inlineStr">
        <is>
          <t>%</t>
        </is>
      </c>
      <c r="E76" s="24" t="inlineStr">
        <is>
          <t>Input. Hentast frå: Fordelingsnøkkel (fôr innandørs).</t>
        </is>
      </c>
      <c r="F76" s="32" t="n"/>
    </row>
    <row r="77">
      <c r="A77" s="20" t="inlineStr">
        <is>
          <t>Innandørsmekanisering – Mjølk</t>
        </is>
      </c>
      <c r="B77" s="21" t="inlineStr">
        <is>
          <t>Utrekna</t>
        </is>
      </c>
      <c r="C77" s="22">
        <f>C65*C66</f>
        <v/>
      </c>
      <c r="D77" s="12" t="inlineStr">
        <is>
          <t>kr</t>
        </is>
      </c>
      <c r="E77" s="23" t="inlineStr">
        <is>
          <t>Innandørsmekanisering – Mjølk = Kostnader til innandørsmekanisering (kontoar) [C65] × Del innandørsmekanisering – Mjølk [C66]</t>
        </is>
      </c>
      <c r="F77" s="24" t="inlineStr">
        <is>
          <t>=C65*C66</t>
        </is>
      </c>
    </row>
    <row r="78">
      <c r="A78" s="20" t="inlineStr">
        <is>
          <t>Innandørsmekanisering – Oksar</t>
        </is>
      </c>
      <c r="B78" s="21" t="inlineStr">
        <is>
          <t>Utrekna</t>
        </is>
      </c>
      <c r="C78" s="22">
        <f>C65*C67</f>
        <v/>
      </c>
      <c r="D78" s="12" t="inlineStr">
        <is>
          <t>kr</t>
        </is>
      </c>
      <c r="E78" s="23" t="inlineStr">
        <is>
          <t>Innandørsmekanisering – Oksar = Kostnader til innandørsmekanisering (kontoar) [C65] × Del innandørsmekanisering – Oksar [C67]</t>
        </is>
      </c>
      <c r="F78" s="24" t="inlineStr">
        <is>
          <t>=C65*C67</t>
        </is>
      </c>
    </row>
    <row r="79">
      <c r="A79" s="20" t="inlineStr">
        <is>
          <t>Innandørsmekanisering – Mellomkalv</t>
        </is>
      </c>
      <c r="B79" s="21" t="inlineStr">
        <is>
          <t>Utrekna</t>
        </is>
      </c>
      <c r="C79" s="22">
        <f>C65*C68</f>
        <v/>
      </c>
      <c r="D79" s="12" t="inlineStr">
        <is>
          <t>kr</t>
        </is>
      </c>
      <c r="E79" s="23" t="inlineStr">
        <is>
          <t>Innandørsmekanisering – Mellomkalv = Kostnader til innandørsmekanisering (kontoar) [C65] × Del innandørsmekanisering – Mellomkalv [C68]</t>
        </is>
      </c>
      <c r="F79" s="24" t="inlineStr">
        <is>
          <t>=C65*C68</t>
        </is>
      </c>
    </row>
    <row r="80">
      <c r="A80" s="20" t="inlineStr">
        <is>
          <t>Innandørsmekanisering – Ammekyr</t>
        </is>
      </c>
      <c r="B80" s="21" t="inlineStr">
        <is>
          <t>Utrekna</t>
        </is>
      </c>
      <c r="C80" s="22">
        <f>C65*C69</f>
        <v/>
      </c>
      <c r="D80" s="12" t="inlineStr">
        <is>
          <t>kr</t>
        </is>
      </c>
      <c r="E80" s="23" t="inlineStr">
        <is>
          <t>Innandørsmekanisering – Ammekyr = Kostnader til innandørsmekanisering (kontoar) [C65] × Del innandørsmekanisering – Ammekyr [C69]</t>
        </is>
      </c>
      <c r="F80" s="24" t="inlineStr">
        <is>
          <t>=C65*C69</t>
        </is>
      </c>
    </row>
    <row r="81">
      <c r="A81" s="20" t="inlineStr">
        <is>
          <t>Innandørsmekanisering – Smågris</t>
        </is>
      </c>
      <c r="B81" s="21" t="inlineStr">
        <is>
          <t>Utrekna</t>
        </is>
      </c>
      <c r="C81" s="22">
        <f>C65*C70</f>
        <v/>
      </c>
      <c r="D81" s="12" t="inlineStr">
        <is>
          <t>kr</t>
        </is>
      </c>
      <c r="E81" s="23" t="inlineStr">
        <is>
          <t>Innandørsmekanisering – Smågris = Kostnader til innandørsmekanisering (kontoar) [C65] × Del innandørsmekanisering – Smågris [C70]</t>
        </is>
      </c>
      <c r="F81" s="24" t="inlineStr">
        <is>
          <t>=C65*C70</t>
        </is>
      </c>
    </row>
    <row r="82">
      <c r="A82" s="20" t="inlineStr">
        <is>
          <t>Innandørsmekanisering – Purkering</t>
        </is>
      </c>
      <c r="B82" s="21" t="inlineStr">
        <is>
          <t>Utrekna</t>
        </is>
      </c>
      <c r="C82" s="22">
        <f>C65*C71</f>
        <v/>
      </c>
      <c r="D82" s="12" t="inlineStr">
        <is>
          <t>kr</t>
        </is>
      </c>
      <c r="E82" s="23" t="inlineStr">
        <is>
          <t>Innandørsmekanisering – Purkering = Kostnader til innandørsmekanisering (kontoar) [C65] × Del innandørsmekanisering – Purkering [C71]</t>
        </is>
      </c>
      <c r="F82" s="24" t="inlineStr">
        <is>
          <t>=C65*C71</t>
        </is>
      </c>
    </row>
    <row r="83">
      <c r="A83" s="20" t="inlineStr">
        <is>
          <t>Innandørsmekanisering – Slaktegris</t>
        </is>
      </c>
      <c r="B83" s="21" t="inlineStr">
        <is>
          <t>Utrekna</t>
        </is>
      </c>
      <c r="C83" s="22">
        <f>C65*C72</f>
        <v/>
      </c>
      <c r="D83" s="12" t="inlineStr">
        <is>
          <t>kr</t>
        </is>
      </c>
      <c r="E83" s="23" t="inlineStr">
        <is>
          <t>Innandørsmekanisering – Slaktegris = Kostnader til innandørsmekanisering (kontoar) [C65] × Del innandørsmekanisering – Slaktegris [C72]</t>
        </is>
      </c>
      <c r="F83" s="24" t="inlineStr">
        <is>
          <t>=C65*C72</t>
        </is>
      </c>
    </row>
    <row r="84">
      <c r="A84" s="20" t="inlineStr">
        <is>
          <t>Innandørsmekanisering – Sau</t>
        </is>
      </c>
      <c r="B84" s="21" t="inlineStr">
        <is>
          <t>Utrekna</t>
        </is>
      </c>
      <c r="C84" s="22">
        <f>C65*C73</f>
        <v/>
      </c>
      <c r="D84" s="12" t="inlineStr">
        <is>
          <t>kr</t>
        </is>
      </c>
      <c r="E84" s="23" t="inlineStr">
        <is>
          <t>Innandørsmekanisering – Sau = Kostnader til innandørsmekanisering (kontoar) [C65] × Del innandørsmekanisering – Sau [C73]</t>
        </is>
      </c>
      <c r="F84" s="24" t="inlineStr">
        <is>
          <t>=C65*C73</t>
        </is>
      </c>
    </row>
    <row r="85">
      <c r="A85" s="20" t="inlineStr">
        <is>
          <t>Innandørsmekanisering – Geit</t>
        </is>
      </c>
      <c r="B85" s="21" t="inlineStr">
        <is>
          <t>Utrekna</t>
        </is>
      </c>
      <c r="C85" s="22">
        <f>C65*C74</f>
        <v/>
      </c>
      <c r="D85" s="12" t="inlineStr">
        <is>
          <t>kr</t>
        </is>
      </c>
      <c r="E85" s="23" t="inlineStr">
        <is>
          <t>Innandørsmekanisering – Geit = Kostnader til innandørsmekanisering (kontoar) [C65] × Del innandørsmekanisering – Geit [C74]</t>
        </is>
      </c>
      <c r="F85" s="24" t="inlineStr">
        <is>
          <t>=C65*C74</t>
        </is>
      </c>
    </row>
    <row r="86">
      <c r="A86" s="20" t="inlineStr">
        <is>
          <t>Innandørsmekanisering – Egg</t>
        </is>
      </c>
      <c r="B86" s="21" t="inlineStr">
        <is>
          <t>Utrekna</t>
        </is>
      </c>
      <c r="C86" s="22">
        <f>C65*C75</f>
        <v/>
      </c>
      <c r="D86" s="12" t="inlineStr">
        <is>
          <t>kr</t>
        </is>
      </c>
      <c r="E86" s="23" t="inlineStr">
        <is>
          <t>Innandørsmekanisering – Egg = Kostnader til innandørsmekanisering (kontoar) [C65] × Del innandørsmekanisering – Egg [C75]</t>
        </is>
      </c>
      <c r="F86" s="24" t="inlineStr">
        <is>
          <t>=C65*C75</t>
        </is>
      </c>
    </row>
    <row r="87">
      <c r="A87" s="20" t="inlineStr">
        <is>
          <t>Innandørsmekanisering – Slaktekylling</t>
        </is>
      </c>
      <c r="B87" s="21" t="inlineStr">
        <is>
          <t>Utrekna</t>
        </is>
      </c>
      <c r="C87" s="22">
        <f>C65*C76</f>
        <v/>
      </c>
      <c r="D87" s="12" t="inlineStr">
        <is>
          <t>kr</t>
        </is>
      </c>
      <c r="E87" s="23" t="inlineStr">
        <is>
          <t>Innandørsmekanisering – Slaktekylling = Kostnader til innandørsmekanisering (kontoar) [C65] × Del innandørsmekanisering – Slaktekylling [C76]</t>
        </is>
      </c>
      <c r="F87" s="24" t="inlineStr">
        <is>
          <t>=C65*C76</t>
        </is>
      </c>
    </row>
    <row r="88">
      <c r="A88" s="20" t="inlineStr">
        <is>
          <t>Sum innandørsmekanisering (herav, inngår i summane ovanfor)</t>
        </is>
      </c>
      <c r="B88" s="21" t="inlineStr">
        <is>
          <t>Utrekna</t>
        </is>
      </c>
      <c r="C88" s="22">
        <f>C77+C78+C79+C80+C81+C82+C83+C84+C85+C86+C87</f>
        <v/>
      </c>
      <c r="D88" s="12" t="inlineStr">
        <is>
          <t>kr</t>
        </is>
      </c>
      <c r="E88" s="23" t="inlineStr">
        <is>
          <t>Sum innandørsmekanisering (herav, inngår i summane ovanfor) = Innandørsmekanisering – Mjølk [C77] + Innandørsmekanisering – Oksar [C78] + Innandørsmekanisering – Mellomkalv [C79] + Innandørsmekanisering – Ammekyr [C80] + Innandørsmekanisering – Smågris [C81] + Innandørsmekanisering – Purkering [C82] + Innandørsmekanisering – Slaktegris [C83] + Innandørsmekanisering – Sau [C84] + Innandørsmekanisering – Geit [C85] + Innandørsmekanisering – Egg [C86] + Innandørsmekanisering – Slaktekylling [C87]</t>
        </is>
      </c>
      <c r="F88" s="24" t="inlineStr">
        <is>
          <t>=C77+C78+C79+C80+C81+C82+C83+C84+C85+C86+C87</t>
        </is>
      </c>
    </row>
    <row r="89">
      <c r="A89" s="18" t="inlineStr">
        <is>
          <t>6. INPUT – Andre faste kostnader</t>
        </is>
      </c>
      <c r="B89" s="19" t="n"/>
      <c r="C89" s="19" t="n"/>
      <c r="D89" s="19" t="n"/>
      <c r="E89" s="19" t="n"/>
      <c r="F89" s="19" t="n"/>
    </row>
    <row r="90">
      <c r="A90" s="20" t="inlineStr">
        <is>
          <t>Leigd hjelp / løn / avløysar</t>
        </is>
      </c>
      <c r="B90" s="24" t="inlineStr">
        <is>
          <t>4570-4580, 5000-5599, 5700-5999, !5800-5899</t>
        </is>
      </c>
      <c r="C90" s="31" t="n">
        <v>78672.8</v>
      </c>
      <c r="D90" s="12" t="inlineStr">
        <is>
          <t>kr</t>
        </is>
      </c>
      <c r="E90" s="24" t="inlineStr">
        <is>
          <t>Input. Hentast frå: 4570-4580, 5000-5599, 5700-5999, !5800-5899.</t>
        </is>
      </c>
      <c r="F90" s="32" t="n"/>
    </row>
    <row r="91">
      <c r="A91" s="20" t="inlineStr">
        <is>
          <t>Arbeidsvederlag i selskap</t>
        </is>
      </c>
      <c r="B91" s="24" t="inlineStr">
        <is>
          <t>5600-5699</t>
        </is>
      </c>
      <c r="C91" s="31" t="n">
        <v>0</v>
      </c>
      <c r="D91" s="12" t="inlineStr">
        <is>
          <t>kr</t>
        </is>
      </c>
      <c r="E91" s="24" t="inlineStr">
        <is>
          <t>Input. Hentast frå: 5600-5699.</t>
        </is>
      </c>
      <c r="F91" s="32" t="n"/>
    </row>
    <row r="92">
      <c r="A92" s="20" t="inlineStr">
        <is>
          <t>Refusjon avløysar / sjukdom (-)</t>
        </is>
      </c>
      <c r="B92" s="24" t="inlineStr">
        <is>
          <t>3440-3442, 5800-5899</t>
        </is>
      </c>
      <c r="C92" s="31" t="n">
        <v>-62681</v>
      </c>
      <c r="D92" s="12" t="inlineStr">
        <is>
          <t>kr</t>
        </is>
      </c>
      <c r="E92" s="24" t="inlineStr">
        <is>
          <t>Input. Hentast frå: 3440-3442, 5800-5899.</t>
        </is>
      </c>
      <c r="F92" s="32" t="n"/>
    </row>
    <row r="93">
      <c r="A93" s="20" t="inlineStr">
        <is>
          <t>Leige av jord, beite og mjølkekvote</t>
        </is>
      </c>
      <c r="B93" s="24" t="inlineStr">
        <is>
          <t>6471, 6472, 6475</t>
        </is>
      </c>
      <c r="C93" s="31" t="n">
        <v>0</v>
      </c>
      <c r="D93" s="12" t="inlineStr">
        <is>
          <t>kr</t>
        </is>
      </c>
      <c r="E93" s="24" t="inlineStr">
        <is>
          <t>Input. Hentast frå: 6471, 6472, 6475.</t>
        </is>
      </c>
      <c r="F93" s="32" t="n"/>
    </row>
    <row r="94">
      <c r="A94" s="20" t="inlineStr">
        <is>
          <t>Vedlikehald jord, vegar, grøfter og anna</t>
        </is>
      </c>
      <c r="B94" s="24" t="inlineStr">
        <is>
          <t>6650-6699</t>
        </is>
      </c>
      <c r="C94" s="31" t="n">
        <v>5000</v>
      </c>
      <c r="D94" s="12" t="inlineStr">
        <is>
          <t>kr</t>
        </is>
      </c>
      <c r="E94" s="24" t="inlineStr">
        <is>
          <t>Input. Hentast frå: 6650-6699.</t>
        </is>
      </c>
      <c r="F94" s="32" t="n"/>
    </row>
    <row r="95">
      <c r="A95" s="20" t="inlineStr">
        <is>
          <t>Energi (straum, brensel) som ikkje er fordelt</t>
        </is>
      </c>
      <c r="B95" s="24" t="inlineStr">
        <is>
          <t>6200-6249</t>
        </is>
      </c>
      <c r="C95" s="31" t="n">
        <v>23734.87</v>
      </c>
      <c r="D95" s="12" t="inlineStr">
        <is>
          <t>kr</t>
        </is>
      </c>
      <c r="E95" s="24" t="inlineStr">
        <is>
          <t>Input. Hentast frå: 6200-6249.</t>
        </is>
      </c>
      <c r="F95" s="32" t="n"/>
    </row>
    <row r="96">
      <c r="A96" s="20" t="inlineStr">
        <is>
          <t>Administrasjon (rekneskap, kontor, telefon, kontingentar, forsikring)</t>
        </is>
      </c>
      <c r="B96" s="24" t="inlineStr">
        <is>
          <t>6700-6999, 7100-7499, 7500, 7502, 7509, 7600-7799</t>
        </is>
      </c>
      <c r="C96" s="31" t="n">
        <v>156309.53</v>
      </c>
      <c r="D96" s="12" t="inlineStr">
        <is>
          <t>kr</t>
        </is>
      </c>
      <c r="E96" s="24" t="inlineStr">
        <is>
          <t>Input. Hentast frå: 6700-6999, 7100-7499, 7500, 7502, 7509, 7600-7799.</t>
        </is>
      </c>
      <c r="F96" s="32" t="n"/>
    </row>
    <row r="97">
      <c r="A97" s="20" t="inlineStr">
        <is>
          <t>Bil og transportmiddel</t>
        </is>
      </c>
      <c r="B97" s="24" t="inlineStr">
        <is>
          <t>6011-6014, 7000-7099</t>
        </is>
      </c>
      <c r="C97" s="31" t="n">
        <v>0</v>
      </c>
      <c r="D97" s="12" t="inlineStr">
        <is>
          <t>kr</t>
        </is>
      </c>
      <c r="E97" s="24" t="inlineStr">
        <is>
          <t>Input. Hentast frå: 6011-6014, 7000-7099.</t>
        </is>
      </c>
      <c r="F97" s="32" t="n"/>
    </row>
    <row r="98">
      <c r="A98" s="20" t="inlineStr">
        <is>
          <t>Andre avskrivingar (driftsmessige)</t>
        </is>
      </c>
      <c r="B98" s="24" t="inlineStr">
        <is>
          <t>6015-6019</t>
        </is>
      </c>
      <c r="C98" s="31" t="n">
        <v>0</v>
      </c>
      <c r="D98" s="12" t="inlineStr">
        <is>
          <t>kr</t>
        </is>
      </c>
      <c r="E98" s="24" t="inlineStr">
        <is>
          <t>Input. Hentast frå: 6015-6019.</t>
        </is>
      </c>
      <c r="F98" s="32" t="n"/>
    </row>
    <row r="99">
      <c r="A99" s="20" t="inlineStr">
        <is>
          <t>Annan fast kostnad (resten av 5000–7999)</t>
        </is>
      </c>
      <c r="B99" s="24" t="inlineStr"/>
      <c r="C99" s="31" t="n">
        <v>66370.83</v>
      </c>
      <c r="D99" s="12" t="inlineStr">
        <is>
          <t>kr</t>
        </is>
      </c>
      <c r="E99" s="24" t="inlineStr">
        <is>
          <t>Input.</t>
        </is>
      </c>
      <c r="F99" s="32" t="n"/>
    </row>
    <row r="100">
      <c r="A100" s="20" t="inlineStr">
        <is>
          <t>Sum andre faste kostnader</t>
        </is>
      </c>
      <c r="B100" s="21" t="inlineStr">
        <is>
          <t>Utrekna</t>
        </is>
      </c>
      <c r="C100" s="22">
        <f>C90+C91+C92+C93+C94+C95+C96+C97+C98+C99</f>
        <v/>
      </c>
      <c r="D100" s="12" t="inlineStr">
        <is>
          <t>kr</t>
        </is>
      </c>
      <c r="E100" s="23" t="inlineStr">
        <is>
          <t>Sum andre faste kostnader = Leigd hjelp / løn / avløysar [C90] + Arbeidsvederlag i selskap [C91] + Refusjon avløysar / sjukdom (-) [C92] + Leige av jord, beite og mjølkekvote [C93] + Vedlikehald jord, vegar, grøfter og anna [C94] + Energi (straum, brensel) som ikkje er fordelt [C95] + Administrasjon (rekneskap, kontor, telefon, kontingentar, forsikring) [C96] + Bil og transportmiddel [C97] + Andre avskrivingar (driftsmessige) [C98] + Annan fast kostnad (resten av 5000–7999) [C99]</t>
        </is>
      </c>
      <c r="F100" s="24" t="inlineStr">
        <is>
          <t>=C90+C91+C92+C93+C94+C95+C96+C97+C98+C99</t>
        </is>
      </c>
    </row>
    <row r="101">
      <c r="A101" s="18" t="inlineStr">
        <is>
          <t>7. OUTPUT – Sum faste kostnader</t>
        </is>
      </c>
      <c r="B101" s="19" t="n"/>
      <c r="C101" s="19" t="n"/>
      <c r="D101" s="19" t="n"/>
      <c r="E101" s="19" t="n"/>
      <c r="F101" s="19" t="n"/>
    </row>
    <row r="102">
      <c r="A102" s="25" t="inlineStr">
        <is>
          <t>Sum faste kostnader jordbruk</t>
        </is>
      </c>
      <c r="B102" s="26" t="inlineStr">
        <is>
          <t>Utrekna</t>
        </is>
      </c>
      <c r="C102" s="27">
        <f>C13+C63+C100</f>
        <v/>
      </c>
      <c r="D102" s="28" t="inlineStr">
        <is>
          <t>kr</t>
        </is>
      </c>
      <c r="E102" s="29" t="inlineStr">
        <is>
          <t>Sum faste kostnader jordbruk = Sum maskinkostnader [C13] + Sum bygningskostnader [C63] + Sum andre faste kostnader [C100]   (Innandørsmekanisering er ein herav-post og blir ikkje lagd til (same som eksempelanalysen))</t>
        </is>
      </c>
      <c r="F102" s="30" t="inlineStr">
        <is>
          <t>=C13+C63+C100</t>
        </is>
      </c>
    </row>
    <row r="103">
      <c r="A103" s="20" t="inlineStr">
        <is>
          <t>– herav driftsmessige avskrivingar</t>
        </is>
      </c>
      <c r="B103" s="21" t="inlineStr">
        <is>
          <t>Utrekna</t>
        </is>
      </c>
      <c r="C103" s="22">
        <f>C11+C60+C98</f>
        <v/>
      </c>
      <c r="D103" s="12" t="inlineStr">
        <is>
          <t>kr</t>
        </is>
      </c>
      <c r="E103" s="23" t="inlineStr">
        <is>
          <t>– herav driftsmessige avskrivingar = Avskrivingar maskiner og reiskap (driftsmessige) [C11] + Avskrivingar bygningar og anlegg (driftsmessige) [C60] + Andre avskrivingar (driftsmessige) [C98]</t>
        </is>
      </c>
      <c r="F103" s="24" t="inlineStr">
        <is>
          <t>=C11+C60+C98</t>
        </is>
      </c>
    </row>
    <row r="104">
      <c r="A104" s="25" t="inlineStr">
        <is>
          <t>Maskinkostnader i % av faste kostnader</t>
        </is>
      </c>
      <c r="B104" s="26" t="inlineStr">
        <is>
          <t>Utrekna</t>
        </is>
      </c>
      <c r="C104" s="33">
        <f>IF((C102)=0,0,(C13)/(C102))</f>
        <v/>
      </c>
      <c r="D104" s="28" t="inlineStr">
        <is>
          <t>%</t>
        </is>
      </c>
      <c r="E104" s="29" t="inlineStr">
        <is>
          <t>Maskinkostnader i % av faste kostnader = Sum maskinkostnader [C13] ÷ Sum faste kostnader jordbruk [C102]</t>
        </is>
      </c>
      <c r="F104" s="30" t="inlineStr">
        <is>
          <t>=IF((C102)=0,0,(C13)/(C102))</t>
        </is>
      </c>
    </row>
    <row r="105">
      <c r="A105" s="25" t="inlineStr">
        <is>
          <t>Bygningskostnader i % av faste kostnader</t>
        </is>
      </c>
      <c r="B105" s="26" t="inlineStr">
        <is>
          <t>Utrekna</t>
        </is>
      </c>
      <c r="C105" s="33">
        <f>IF((C102)=0,0,(C63)/(C102))</f>
        <v/>
      </c>
      <c r="D105" s="28" t="inlineStr">
        <is>
          <t>%</t>
        </is>
      </c>
      <c r="E105" s="29" t="inlineStr">
        <is>
          <t>Bygningskostnader i % av faste kostnader = Sum bygningskostnader [C63] ÷ Sum faste kostnader jordbruk [C102]</t>
        </is>
      </c>
      <c r="F105" s="30" t="inlineStr">
        <is>
          <t>=IF((C102)=0,0,(C63)/(C102))</t>
        </is>
      </c>
    </row>
  </sheetData>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F60"/>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0" customWidth="1" min="1" max="1"/>
    <col width="34" customWidth="1" min="2" max="2"/>
    <col width="16" customWidth="1" min="3" max="3"/>
    <col width="10" customWidth="1" min="4" max="4"/>
    <col width="78" customWidth="1" min="5" max="5"/>
    <col width="46" customWidth="1" min="6" max="6"/>
  </cols>
  <sheetData>
    <row r="1" ht="22" customHeight="1">
      <c r="A1" s="1" t="inlineStr">
        <is>
          <t>Grovfôr – areal, kueiningar og grovfôrkostnad</t>
        </is>
      </c>
    </row>
    <row r="2">
      <c r="A2" s="7" t="inlineStr">
        <is>
          <t>Felles grovfôrgrunnlag for mjølk, oksar, mellomkalv, ammekyr, sau og geit.</t>
        </is>
      </c>
    </row>
    <row r="3">
      <c r="A3" s="8" t="inlineStr">
        <is>
          <t>Fargekodar:  blå tal på gul botn = input (skal fyllast inn)   ·   svart = formel   ·   grøn = lenkje frå anna ark.   Alle kronebeløp er positive (inntekt og kostnad).</t>
        </is>
      </c>
    </row>
    <row r="5">
      <c r="A5" s="17" t="inlineStr">
        <is>
          <t>Post</t>
        </is>
      </c>
      <c r="B5" s="17" t="inlineStr">
        <is>
          <t>Kjelde / Tripletex-konto</t>
        </is>
      </c>
      <c r="C5" s="17" t="inlineStr">
        <is>
          <t>Verdi</t>
        </is>
      </c>
      <c r="D5" s="17" t="inlineStr">
        <is>
          <t>Eining</t>
        </is>
      </c>
      <c r="E5" s="17" t="inlineStr">
        <is>
          <t>Formel forklart (korleis outputen blir rekna)</t>
        </is>
      </c>
      <c r="F5" s="17" t="inlineStr">
        <is>
          <t>Excel-formel</t>
        </is>
      </c>
    </row>
    <row r="6">
      <c r="A6" s="18" t="inlineStr">
        <is>
          <t>1. INPUT – Areal (dekar)</t>
        </is>
      </c>
      <c r="B6" s="19" t="n"/>
      <c r="C6" s="19" t="n"/>
      <c r="D6" s="19" t="n"/>
      <c r="E6" s="19" t="n"/>
      <c r="F6" s="19" t="n"/>
    </row>
    <row r="7">
      <c r="A7" s="20" t="inlineStr">
        <is>
          <t>Overflatedyrka jord til eng og beite</t>
        </is>
      </c>
      <c r="B7" s="24" t="inlineStr">
        <is>
          <t>Søknad om produksjonstilskot / kontoar 1071 mengd 2</t>
        </is>
      </c>
      <c r="C7" s="31" t="n">
        <v>0</v>
      </c>
      <c r="D7" s="12" t="inlineStr">
        <is>
          <t>da</t>
        </is>
      </c>
      <c r="E7" s="24" t="inlineStr">
        <is>
          <t>Input. Hentast frå: Søknad om produksjonstilskot / kontoar 1071 mengd 2.</t>
        </is>
      </c>
      <c r="F7" s="32" t="n"/>
    </row>
    <row r="8">
      <c r="A8" s="20" t="inlineStr">
        <is>
          <t>Fulldyrka jord til eng og beite</t>
        </is>
      </c>
      <c r="B8" s="24" t="inlineStr">
        <is>
          <t>Søknad om produksjonstilskot / konto 1070 mengd 2</t>
        </is>
      </c>
      <c r="C8" s="31" t="n">
        <v>129</v>
      </c>
      <c r="D8" s="12" t="inlineStr">
        <is>
          <t>da</t>
        </is>
      </c>
      <c r="E8" s="24" t="inlineStr">
        <is>
          <t>Input. Hentast frå: Søknad om produksjonstilskot / konto 1070 mengd 2.</t>
        </is>
      </c>
      <c r="F8" s="32" t="n"/>
    </row>
    <row r="9">
      <c r="A9" s="20" t="inlineStr">
        <is>
          <t>Innmarksbeite / kulturbeite</t>
        </is>
      </c>
      <c r="B9" s="24" t="inlineStr">
        <is>
          <t>Søknad om produksjonstilskot / konto 1072 mengd 2</t>
        </is>
      </c>
      <c r="C9" s="31" t="n">
        <v>169</v>
      </c>
      <c r="D9" s="12" t="inlineStr">
        <is>
          <t>da</t>
        </is>
      </c>
      <c r="E9" s="24" t="inlineStr">
        <is>
          <t>Input. Hentast frå: Søknad om produksjonstilskot / konto 1072 mengd 2.</t>
        </is>
      </c>
      <c r="F9" s="32" t="n"/>
    </row>
    <row r="10">
      <c r="A10" s="20" t="inlineStr">
        <is>
          <t>Kulturbeite leigd ut</t>
        </is>
      </c>
      <c r="B10" s="24" t="inlineStr">
        <is>
          <t>Leigeavtalar</t>
        </is>
      </c>
      <c r="C10" s="31" t="n">
        <v>0</v>
      </c>
      <c r="D10" s="12" t="inlineStr">
        <is>
          <t>da</t>
        </is>
      </c>
      <c r="E10" s="24" t="inlineStr">
        <is>
          <t>Input. Hentast frå: Leigeavtalar.</t>
        </is>
      </c>
      <c r="F10" s="32" t="n"/>
    </row>
    <row r="11">
      <c r="A11" s="18" t="inlineStr">
        <is>
          <t>2. INPUT – Dyr på utmarksbeite (tal dyr sleppt)</t>
        </is>
      </c>
      <c r="B11" s="19" t="n"/>
      <c r="C11" s="19" t="n"/>
      <c r="D11" s="19" t="n"/>
      <c r="E11" s="19" t="n"/>
      <c r="F11" s="19" t="n"/>
    </row>
    <row r="12">
      <c r="A12" s="20" t="inlineStr">
        <is>
          <t>Sau på utmarksbeite (1,05 FEm/dag, 95 dagar)</t>
        </is>
      </c>
      <c r="B12" s="24" t="inlineStr">
        <is>
          <t>Søknad om tilskot til dyr på beite</t>
        </is>
      </c>
      <c r="C12" s="31" t="n">
        <v>36</v>
      </c>
      <c r="D12" s="12" t="inlineStr">
        <is>
          <t>stk</t>
        </is>
      </c>
      <c r="E12" s="24" t="inlineStr">
        <is>
          <t>Input. Hentast frå: Søknad om tilskot til dyr på beite.</t>
        </is>
      </c>
      <c r="F12" s="32" t="n"/>
    </row>
    <row r="13">
      <c r="A13" s="20" t="inlineStr">
        <is>
          <t>Lam på utmarksbeite (1 FEm/dag, 90 dagar)</t>
        </is>
      </c>
      <c r="B13" s="24" t="inlineStr">
        <is>
          <t>Søknad om tilskot til dyr på beite</t>
        </is>
      </c>
      <c r="C13" s="31" t="n">
        <v>0</v>
      </c>
      <c r="D13" s="12" t="inlineStr">
        <is>
          <t>stk</t>
        </is>
      </c>
      <c r="E13" s="24" t="inlineStr">
        <is>
          <t>Input. Hentast frå: Søknad om tilskot til dyr på beite.</t>
        </is>
      </c>
      <c r="F13" s="32" t="n"/>
    </row>
    <row r="14">
      <c r="A14" s="20" t="inlineStr">
        <is>
          <t>Kyr på utmarksbeite (7,2 FEm/dag, 92 dagar)</t>
        </is>
      </c>
      <c r="B14" s="24" t="inlineStr">
        <is>
          <t>Søknad om tilskot til dyr på beite</t>
        </is>
      </c>
      <c r="C14" s="31" t="n">
        <v>16</v>
      </c>
      <c r="D14" s="12" t="inlineStr">
        <is>
          <t>stk</t>
        </is>
      </c>
      <c r="E14" s="24" t="inlineStr">
        <is>
          <t>Input. Hentast frå: Søknad om tilskot til dyr på beite.</t>
        </is>
      </c>
      <c r="F14" s="32" t="n"/>
    </row>
    <row r="15">
      <c r="A15" s="20" t="inlineStr">
        <is>
          <t>Ungdyr på utmarksbeite (4,8 FEm/dag, 92 dagar)</t>
        </is>
      </c>
      <c r="B15" s="24" t="inlineStr">
        <is>
          <t>Søknad om tilskot til dyr på beite</t>
        </is>
      </c>
      <c r="C15" s="31" t="n">
        <v>21</v>
      </c>
      <c r="D15" s="12" t="inlineStr">
        <is>
          <t>stk</t>
        </is>
      </c>
      <c r="E15" s="24" t="inlineStr">
        <is>
          <t>Input. Hentast frå: Søknad om tilskot til dyr på beite.</t>
        </is>
      </c>
      <c r="F15" s="32" t="n"/>
    </row>
    <row r="16">
      <c r="A16" s="18" t="inlineStr">
        <is>
          <t>3. UTREKNING – Grovfôrareal</t>
        </is>
      </c>
      <c r="B16" s="19" t="n"/>
      <c r="C16" s="19" t="n"/>
      <c r="D16" s="19" t="n"/>
      <c r="E16" s="19" t="n"/>
      <c r="F16" s="19" t="n"/>
    </row>
    <row r="17">
      <c r="A17" s="20" t="inlineStr">
        <is>
          <t>Dekar til sal av silofôr og høy</t>
        </is>
      </c>
      <c r="B17" s="21" t="inlineStr">
        <is>
          <t>Utrekna</t>
        </is>
      </c>
      <c r="C17" s="36">
        <f>Silofor!C7*IF(Oversikt!$B$8="J",1,0)+'Høy'!C7*IF(Oversikt!$B$9="J",1,0)</f>
        <v/>
      </c>
      <c r="D17" s="12" t="inlineStr">
        <is>
          <t>da</t>
        </is>
      </c>
      <c r="E17" s="23" t="inlineStr">
        <is>
          <t>Dekar til sal av silofôr og høy = Tal dekar [Silofor!C7] × Med i totalen Silofor [Oversikt!B8 → 1/0] + Tal dekar [Høy!C7] × Med i totalen Høy [Oversikt!B9 → 1/0]</t>
        </is>
      </c>
      <c r="F17" s="24" t="inlineStr">
        <is>
          <t>=Silofor!C7*IF(Oversikt!$B$8="J",1,0)+'Høy'!C7*IF(Oversikt!$B$9="J",1,0)</t>
        </is>
      </c>
    </row>
    <row r="18">
      <c r="A18" s="20" t="inlineStr">
        <is>
          <t>Fulldyrka til eigen grovfôrbasert husdyrproduksjon</t>
        </is>
      </c>
      <c r="B18" s="21" t="inlineStr">
        <is>
          <t>Utrekna</t>
        </is>
      </c>
      <c r="C18" s="36">
        <f>C8-C17</f>
        <v/>
      </c>
      <c r="D18" s="12" t="inlineStr">
        <is>
          <t>da</t>
        </is>
      </c>
      <c r="E18" s="23" t="inlineStr">
        <is>
          <t>Fulldyrka til eigen grovfôrbasert husdyrproduksjon = Fulldyrka jord til eng og beite [C8] − Dekar til sal av silofôr og høy [C17]</t>
        </is>
      </c>
      <c r="F18" s="24" t="inlineStr">
        <is>
          <t>=C8-C17</t>
        </is>
      </c>
    </row>
    <row r="19">
      <c r="A19" s="20" t="inlineStr">
        <is>
          <t>Kulturbeite til eige bruk</t>
        </is>
      </c>
      <c r="B19" s="21" t="inlineStr">
        <is>
          <t>Utrekna</t>
        </is>
      </c>
      <c r="C19" s="36">
        <f>C9-C10</f>
        <v/>
      </c>
      <c r="D19" s="12" t="inlineStr">
        <is>
          <t>da</t>
        </is>
      </c>
      <c r="E19" s="23" t="inlineStr">
        <is>
          <t>Kulturbeite til eige bruk = Innmarksbeite / kulturbeite [C9] − Kulturbeite leigd ut [C10]</t>
        </is>
      </c>
      <c r="F19" s="24" t="inlineStr">
        <is>
          <t>=C9-C10</t>
        </is>
      </c>
    </row>
    <row r="20">
      <c r="A20" s="20" t="inlineStr">
        <is>
          <t>Dekar grovfôr – maskinkostnadsgrunnlag (overflate/2 + fulldyrka + kulturbeite×10 %)</t>
        </is>
      </c>
      <c r="B20" s="21" t="inlineStr">
        <is>
          <t>Utrekna</t>
        </is>
      </c>
      <c r="C20" s="36">
        <f>C7/2+C18+C19*0.1</f>
        <v/>
      </c>
      <c r="D20" s="12" t="inlineStr">
        <is>
          <t>da</t>
        </is>
      </c>
      <c r="E20" s="23" t="inlineStr">
        <is>
          <t>Dekar grovfôr – maskinkostnadsgrunnlag (overflate/2 + fulldyrka + kulturbeite×10 %) = Overflatedyrka jord til eng og beite [C7] / 2 + Fulldyrka til eigen grovfôrbasert husdyrproduksjon [C18] + Kulturbeite til eige bruk [C19] × 0,1</t>
        </is>
      </c>
      <c r="F20" s="24" t="inlineStr">
        <is>
          <t>=C7/2+C18+C19*0.1</t>
        </is>
      </c>
    </row>
    <row r="21">
      <c r="A21" s="25" t="inlineStr">
        <is>
          <t>Korrigert grovfôrareal (overflate/1,25 + fulldyrka + kulturbeite/2,5)</t>
        </is>
      </c>
      <c r="B21" s="26" t="inlineStr">
        <is>
          <t>Utrekna</t>
        </is>
      </c>
      <c r="C21" s="37">
        <f>C7/1.25+C18+C19/2.5</f>
        <v/>
      </c>
      <c r="D21" s="28" t="inlineStr">
        <is>
          <t>da</t>
        </is>
      </c>
      <c r="E21" s="29" t="inlineStr">
        <is>
          <t>Korrigert grovfôrareal (overflate/1,25 + fulldyrka + kulturbeite/2,5) = Overflatedyrka jord til eng og beite [C7] / 1,25 + Fulldyrka til eigen grovfôrbasert husdyrproduksjon [C18] + Kulturbeite til eige bruk [C19] / 2,5</t>
        </is>
      </c>
      <c r="F21" s="30" t="inlineStr">
        <is>
          <t>=C7/1.25+C18+C19/2.5</t>
        </is>
      </c>
    </row>
    <row r="22">
      <c r="A22" s="20" t="inlineStr">
        <is>
          <t>Fôreiningar (FEm) henta frå utmark</t>
        </is>
      </c>
      <c r="B22" s="21" t="inlineStr">
        <is>
          <t>Utrekna</t>
        </is>
      </c>
      <c r="C22" s="22">
        <f>C12*1.05*95+C13*1*90+C14*7.2*92+C15*4.8*92</f>
        <v/>
      </c>
      <c r="D22" s="12" t="inlineStr">
        <is>
          <t>FEm</t>
        </is>
      </c>
      <c r="E22" s="23" t="inlineStr">
        <is>
          <t>Fôreiningar (FEm) henta frå utmark = Sau på utmarksbeite (1,05 FEm/dag, 95 dagar) [C12] × 1,05 × 95 + Lam på utmarksbeite (1 FEm/dag, 90 dagar) [C13] × 1 × 90 + Kyr på utmarksbeite (7,2 FEm/dag, 92 dagar) [C14] × 7,2 × 92 + Ungdyr på utmarksbeite (4,8 FEm/dag, 92 dagar) [C15] × 4,8 × 92</t>
        </is>
      </c>
      <c r="F22" s="24" t="inlineStr">
        <is>
          <t>=C12*1.05*95+C13*1*90+C14*7.2*92+C15*4.8*92</t>
        </is>
      </c>
    </row>
    <row r="23">
      <c r="A23" s="20" t="inlineStr">
        <is>
          <t>Utmark omrekna til «fulldyrka» dekar (900 FEm/da)</t>
        </is>
      </c>
      <c r="B23" s="21" t="inlineStr">
        <is>
          <t>Utrekna</t>
        </is>
      </c>
      <c r="C23" s="36">
        <f>C22/900</f>
        <v/>
      </c>
      <c r="D23" s="12" t="inlineStr">
        <is>
          <t>da</t>
        </is>
      </c>
      <c r="E23" s="23" t="inlineStr">
        <is>
          <t>Utmark omrekna til «fulldyrka» dekar (900 FEm/da) = Fôreiningar (FEm) henta frå utmark [C22] / 900</t>
        </is>
      </c>
      <c r="F23" s="24" t="inlineStr">
        <is>
          <t>=C22/900</t>
        </is>
      </c>
    </row>
    <row r="24">
      <c r="A24" s="18" t="inlineStr">
        <is>
          <t>4. UTREKNING – «Kueiningar» og eigen grovfôrkostnad pr produksjon (berre produksjonar med i totalen)</t>
        </is>
      </c>
      <c r="B24" s="19" t="n"/>
      <c r="C24" s="19" t="n"/>
      <c r="D24" s="19" t="n"/>
      <c r="E24" s="19" t="n"/>
      <c r="F24" s="19" t="n"/>
    </row>
    <row r="25">
      <c r="A25" s="20" t="inlineStr">
        <is>
          <t>Kueiningar – Mjølk</t>
        </is>
      </c>
      <c r="B25" s="21" t="inlineStr">
        <is>
          <t>Utrekna</t>
        </is>
      </c>
      <c r="C25" s="38">
        <f>'Mjølk'!C59*IF(Oversikt!$B$16="J",1,0)</f>
        <v/>
      </c>
      <c r="D25" s="12" t="inlineStr">
        <is>
          <t>stk</t>
        </is>
      </c>
      <c r="E25" s="23" t="inlineStr">
        <is>
          <t>Kueiningar – Mjølk = «Kueiningar» [Mjølk!C59] × Med i totalen Mjølk [Oversikt!B16 → 1/0]</t>
        </is>
      </c>
      <c r="F25" s="24" t="inlineStr">
        <is>
          <t>='Mjølk'!C59*IF(Oversikt!$B$16="J",1,0)</t>
        </is>
      </c>
    </row>
    <row r="26">
      <c r="A26" s="20" t="inlineStr">
        <is>
          <t>Kueiningar – Oksar</t>
        </is>
      </c>
      <c r="B26" s="21" t="inlineStr">
        <is>
          <t>Utrekna</t>
        </is>
      </c>
      <c r="C26" s="38">
        <f>Oksar!C56*IF(Oversikt!$B$17="J",1,0)</f>
        <v/>
      </c>
      <c r="D26" s="12" t="inlineStr">
        <is>
          <t>stk</t>
        </is>
      </c>
      <c r="E26" s="23" t="inlineStr">
        <is>
          <t>Kueiningar – Oksar = «Kueiningar» [Oksar!C56] × Med i totalen Oksar [Oversikt!B17 → 1/0]</t>
        </is>
      </c>
      <c r="F26" s="24" t="inlineStr">
        <is>
          <t>=Oksar!C56*IF(Oversikt!$B$17="J",1,0)</t>
        </is>
      </c>
    </row>
    <row r="27">
      <c r="A27" s="20" t="inlineStr">
        <is>
          <t>Kueiningar – Mellomkalv</t>
        </is>
      </c>
      <c r="B27" s="21" t="inlineStr">
        <is>
          <t>Utrekna</t>
        </is>
      </c>
      <c r="C27" s="38">
        <f>Mellomkalv!C56*IF(Oversikt!$B$18="J",1,0)</f>
        <v/>
      </c>
      <c r="D27" s="12" t="inlineStr">
        <is>
          <t>stk</t>
        </is>
      </c>
      <c r="E27" s="23" t="inlineStr">
        <is>
          <t>Kueiningar – Mellomkalv = «Kueiningar» [Mellomkalv!C56] × Med i totalen Mellomkalv [Oversikt!B18 → 1/0]</t>
        </is>
      </c>
      <c r="F27" s="24" t="inlineStr">
        <is>
          <t>=Mellomkalv!C56*IF(Oversikt!$B$18="J",1,0)</t>
        </is>
      </c>
    </row>
    <row r="28">
      <c r="A28" s="20" t="inlineStr">
        <is>
          <t>Kueiningar – Ammekyr</t>
        </is>
      </c>
      <c r="B28" s="21" t="inlineStr">
        <is>
          <t>Utrekna</t>
        </is>
      </c>
      <c r="C28" s="38">
        <f>Ammekyr!C61*IF(Oversikt!$B$19="J",1,0)</f>
        <v/>
      </c>
      <c r="D28" s="12" t="inlineStr">
        <is>
          <t>stk</t>
        </is>
      </c>
      <c r="E28" s="23" t="inlineStr">
        <is>
          <t>Kueiningar – Ammekyr = «Kueiningar» [Ammekyr!C61] × Med i totalen Ammekyr [Oversikt!B19 → 1/0]</t>
        </is>
      </c>
      <c r="F28" s="24" t="inlineStr">
        <is>
          <t>=Ammekyr!C61*IF(Oversikt!$B$19="J",1,0)</t>
        </is>
      </c>
    </row>
    <row r="29">
      <c r="A29" s="20" t="inlineStr">
        <is>
          <t>Kueiningar – Sau</t>
        </is>
      </c>
      <c r="B29" s="21" t="inlineStr">
        <is>
          <t>Utrekna</t>
        </is>
      </c>
      <c r="C29" s="38">
        <f>Sau!C67*IF(Oversikt!$B$23="J",1,0)</f>
        <v/>
      </c>
      <c r="D29" s="12" t="inlineStr">
        <is>
          <t>stk</t>
        </is>
      </c>
      <c r="E29" s="23" t="inlineStr">
        <is>
          <t>Kueiningar – Sau = «Kueiningar» [Sau!C67] × Med i totalen Sau [Oversikt!B23 → 1/0]</t>
        </is>
      </c>
      <c r="F29" s="24" t="inlineStr">
        <is>
          <t>=Sau!C67*IF(Oversikt!$B$23="J",1,0)</t>
        </is>
      </c>
    </row>
    <row r="30">
      <c r="A30" s="20" t="inlineStr">
        <is>
          <t>Kueiningar – Geit</t>
        </is>
      </c>
      <c r="B30" s="21" t="inlineStr">
        <is>
          <t>Utrekna</t>
        </is>
      </c>
      <c r="C30" s="38">
        <f>Geit!C55*IF(Oversikt!$B$24="J",1,0)</f>
        <v/>
      </c>
      <c r="D30" s="12" t="inlineStr">
        <is>
          <t>stk</t>
        </is>
      </c>
      <c r="E30" s="23" t="inlineStr">
        <is>
          <t>Kueiningar – Geit = «Kueiningar» [Geit!C55] × Med i totalen Geit [Oversikt!B24 → 1/0]</t>
        </is>
      </c>
      <c r="F30" s="24" t="inlineStr">
        <is>
          <t>=Geit!C55*IF(Oversikt!$B$24="J",1,0)</t>
        </is>
      </c>
    </row>
    <row r="31">
      <c r="A31" s="25" t="inlineStr">
        <is>
          <t>Sum «kueiningar»</t>
        </is>
      </c>
      <c r="B31" s="26" t="inlineStr">
        <is>
          <t>Utrekna</t>
        </is>
      </c>
      <c r="C31" s="39">
        <f>C25+C26+C27+C28+C29+C30</f>
        <v/>
      </c>
      <c r="D31" s="28" t="inlineStr">
        <is>
          <t>stk</t>
        </is>
      </c>
      <c r="E31" s="29" t="inlineStr">
        <is>
          <t>Sum «kueiningar» = Kueiningar – Mjølk [C25] + Kueiningar – Oksar [C26] + Kueiningar – Mellomkalv [C27] + Kueiningar – Ammekyr [C28] + Kueiningar – Sau [C29] + Kueiningar – Geit [C30]</t>
        </is>
      </c>
      <c r="F31" s="30" t="inlineStr">
        <is>
          <t>=C25+C26+C27+C28+C29+C30</t>
        </is>
      </c>
    </row>
    <row r="32">
      <c r="A32" s="20" t="inlineStr">
        <is>
          <t>Eigen grovfôrkostnad – Mjølk</t>
        </is>
      </c>
      <c r="B32" s="21" t="inlineStr">
        <is>
          <t>Utrekna</t>
        </is>
      </c>
      <c r="C32" s="22">
        <f>'Mjølk'!C53*IF(Oversikt!$B$16="J",1,0)</f>
        <v/>
      </c>
      <c r="D32" s="12" t="inlineStr">
        <is>
          <t>kr</t>
        </is>
      </c>
      <c r="E32" s="23" t="inlineStr">
        <is>
          <t>Eigen grovfôrkostnad – Mjølk = Sum eigen grovfôrproduksjon (utan lagerendring) [Mjølk!C53] × Med i totalen Mjølk [Oversikt!B16 → 1/0]</t>
        </is>
      </c>
      <c r="F32" s="24" t="inlineStr">
        <is>
          <t>='Mjølk'!C53*IF(Oversikt!$B$16="J",1,0)</t>
        </is>
      </c>
    </row>
    <row r="33">
      <c r="A33" s="20" t="inlineStr">
        <is>
          <t>Eigen grovfôrkostnad – Oksar</t>
        </is>
      </c>
      <c r="B33" s="21" t="inlineStr">
        <is>
          <t>Utrekna</t>
        </is>
      </c>
      <c r="C33" s="22">
        <f>Oksar!C50*IF(Oversikt!$B$17="J",1,0)</f>
        <v/>
      </c>
      <c r="D33" s="12" t="inlineStr">
        <is>
          <t>kr</t>
        </is>
      </c>
      <c r="E33" s="23" t="inlineStr">
        <is>
          <t>Eigen grovfôrkostnad – Oksar = Sum eigen grovfôrproduksjon (utan lagerendring) [Oksar!C50] × Med i totalen Oksar [Oversikt!B17 → 1/0]</t>
        </is>
      </c>
      <c r="F33" s="24" t="inlineStr">
        <is>
          <t>=Oksar!C50*IF(Oversikt!$B$17="J",1,0)</t>
        </is>
      </c>
    </row>
    <row r="34">
      <c r="A34" s="20" t="inlineStr">
        <is>
          <t>Eigen grovfôrkostnad – Mellomkalv</t>
        </is>
      </c>
      <c r="B34" s="21" t="inlineStr">
        <is>
          <t>Utrekna</t>
        </is>
      </c>
      <c r="C34" s="22">
        <f>Mellomkalv!C50*IF(Oversikt!$B$18="J",1,0)</f>
        <v/>
      </c>
      <c r="D34" s="12" t="inlineStr">
        <is>
          <t>kr</t>
        </is>
      </c>
      <c r="E34" s="23" t="inlineStr">
        <is>
          <t>Eigen grovfôrkostnad – Mellomkalv = Sum eigen grovfôrproduksjon (utan lagerendring) [Mellomkalv!C50] × Med i totalen Mellomkalv [Oversikt!B18 → 1/0]</t>
        </is>
      </c>
      <c r="F34" s="24" t="inlineStr">
        <is>
          <t>=Mellomkalv!C50*IF(Oversikt!$B$18="J",1,0)</t>
        </is>
      </c>
    </row>
    <row r="35">
      <c r="A35" s="20" t="inlineStr">
        <is>
          <t>Eigen grovfôrkostnad – Ammekyr</t>
        </is>
      </c>
      <c r="B35" s="21" t="inlineStr">
        <is>
          <t>Utrekna</t>
        </is>
      </c>
      <c r="C35" s="22">
        <f>Ammekyr!C55*IF(Oversikt!$B$19="J",1,0)</f>
        <v/>
      </c>
      <c r="D35" s="12" t="inlineStr">
        <is>
          <t>kr</t>
        </is>
      </c>
      <c r="E35" s="23" t="inlineStr">
        <is>
          <t>Eigen grovfôrkostnad – Ammekyr = Sum eigen grovfôrproduksjon (utan lagerendring) [Ammekyr!C55] × Med i totalen Ammekyr [Oversikt!B19 → 1/0]</t>
        </is>
      </c>
      <c r="F35" s="24" t="inlineStr">
        <is>
          <t>=Ammekyr!C55*IF(Oversikt!$B$19="J",1,0)</t>
        </is>
      </c>
    </row>
    <row r="36">
      <c r="A36" s="20" t="inlineStr">
        <is>
          <t>Eigen grovfôrkostnad – Sau</t>
        </is>
      </c>
      <c r="B36" s="21" t="inlineStr">
        <is>
          <t>Utrekna</t>
        </is>
      </c>
      <c r="C36" s="22">
        <f>Sau!C61*IF(Oversikt!$B$23="J",1,0)</f>
        <v/>
      </c>
      <c r="D36" s="12" t="inlineStr">
        <is>
          <t>kr</t>
        </is>
      </c>
      <c r="E36" s="23" t="inlineStr">
        <is>
          <t>Eigen grovfôrkostnad – Sau = Sum eigen grovfôrproduksjon (utan lagerendring) [Sau!C61] × Med i totalen Sau [Oversikt!B23 → 1/0]</t>
        </is>
      </c>
      <c r="F36" s="24" t="inlineStr">
        <is>
          <t>=Sau!C61*IF(Oversikt!$B$23="J",1,0)</t>
        </is>
      </c>
    </row>
    <row r="37">
      <c r="A37" s="20" t="inlineStr">
        <is>
          <t>Eigen grovfôrkostnad – Geit</t>
        </is>
      </c>
      <c r="B37" s="21" t="inlineStr">
        <is>
          <t>Utrekna</t>
        </is>
      </c>
      <c r="C37" s="22">
        <f>Geit!C49*IF(Oversikt!$B$24="J",1,0)</f>
        <v/>
      </c>
      <c r="D37" s="12" t="inlineStr">
        <is>
          <t>kr</t>
        </is>
      </c>
      <c r="E37" s="23" t="inlineStr">
        <is>
          <t>Eigen grovfôrkostnad – Geit = Sum eigen grovfôrproduksjon (utan lagerendring) [Geit!C49] × Med i totalen Geit [Oversikt!B24 → 1/0]</t>
        </is>
      </c>
      <c r="F37" s="24" t="inlineStr">
        <is>
          <t>=Geit!C49*IF(Oversikt!$B$24="J",1,0)</t>
        </is>
      </c>
    </row>
    <row r="38">
      <c r="A38" s="20" t="inlineStr">
        <is>
          <t>Sum eigen grovfôrkostnad (fordelingsnøkkel areal)</t>
        </is>
      </c>
      <c r="B38" s="21" t="inlineStr">
        <is>
          <t>Utrekna</t>
        </is>
      </c>
      <c r="C38" s="22">
        <f>C32+C33+C34+C35+C36+C37</f>
        <v/>
      </c>
      <c r="D38" s="12" t="inlineStr">
        <is>
          <t>kr</t>
        </is>
      </c>
      <c r="E38" s="23" t="inlineStr">
        <is>
          <t>Sum eigen grovfôrkostnad (fordelingsnøkkel areal) = Eigen grovfôrkostnad – Mjølk [C32] + Eigen grovfôrkostnad – Oksar [C33] + Eigen grovfôrkostnad – Mellomkalv [C34] + Eigen grovfôrkostnad – Ammekyr [C35] + Eigen grovfôrkostnad – Sau [C36] + Eigen grovfôrkostnad – Geit [C37]</t>
        </is>
      </c>
      <c r="F38" s="24" t="inlineStr">
        <is>
          <t>=C32+C33+C34+C35+C36+C37</t>
        </is>
      </c>
    </row>
    <row r="39">
      <c r="A39" s="20" t="inlineStr">
        <is>
          <t>Sum variabel grovfôrkostnad (utan plast)</t>
        </is>
      </c>
      <c r="B39" s="21" t="inlineStr">
        <is>
          <t>Utrekna</t>
        </is>
      </c>
      <c r="C39" s="22">
        <f>'Mjølk'!C52*IF(Oversikt!$B$16="J",1,0)+Oksar!C49*IF(Oversikt!$B$17="J",1,0)+Mellomkalv!C49*IF(Oversikt!$B$18="J",1,0)+Ammekyr!C54*IF(Oversikt!$B$19="J",1,0)+Sau!C60*IF(Oversikt!$B$23="J",1,0)+Geit!C48*IF(Oversikt!$B$24="J",1,0)</f>
        <v/>
      </c>
      <c r="D39" s="12" t="inlineStr">
        <is>
          <t>kr</t>
        </is>
      </c>
      <c r="E39" s="23" t="inlineStr">
        <is>
          <t>Sum variabel grovfôrkostnad (utan plast) = Variabel grovfôrkostnad (utan plast og lagerendring eigenprodusert) [Mjølk!C52] × Med i totalen Mjølk [Oversikt!B16 → 1/0] + Variabel grovfôrkostnad (utan plast og lagerendring eigenprodusert) [Oksar!C49] × Med i totalen Oksar [Oversikt!B17 → 1/0] + Variabel grovfôrkostnad (utan plast og lagerendring eigenprodusert) [Mellomkalv!C49] × Med i totalen Mellomkalv [Oversikt!B18 → 1/0] + Variabel grovfôrkostnad (utan plast og lagerendring eigenprodusert) [Ammekyr!C54] × Med i totalen Ammekyr [Oversikt!B19 → 1/0] + Variabel grovfôrkostnad (utan plast og lagerendring eigenprodusert) [Sau!C60] × Med i totalen Sau [Oversikt!B23 → 1/0] + Variabel grovfôrkostnad (utan plast og lagerendring eigenprodusert) [Geit!C48] × Med i totalen Geit [Oversikt!B24 → 1/0]</t>
        </is>
      </c>
      <c r="F39" s="24" t="inlineStr">
        <is>
          <t>='Mjølk'!C52*IF(Oversikt!$B$16="J",1,0)+Oksar!C49*IF(Oversikt!$B$17="J",1,0)+Mellomkalv!C49*IF(Oversikt!$B$18="J",1,0)+Ammekyr!C54*IF(Oversikt!$B$19="J",1,0)+Sau!C60*IF(Oversikt!$B$23="J",1,0)+Geit!C48*IF(Oversikt!$B$24="J",1,0)</t>
        </is>
      </c>
    </row>
    <row r="40">
      <c r="A40" s="20" t="inlineStr">
        <is>
          <t>Maskinkostnader i grovfôrproduksjonane</t>
        </is>
      </c>
      <c r="B40" s="21" t="inlineStr">
        <is>
          <t>Utrekna</t>
        </is>
      </c>
      <c r="C40" s="22">
        <f>'Faste kostnader'!C46*IF(Oversikt!$B$16="J",1,0)+'Faste kostnader'!C47*IF(Oversikt!$B$17="J",1,0)+'Faste kostnader'!C48*IF(Oversikt!$B$18="J",1,0)+'Faste kostnader'!C49*IF(Oversikt!$B$19="J",1,0)+'Faste kostnader'!C53*IF(Oversikt!$B$23="J",1,0)+'Faste kostnader'!C54*IF(Oversikt!$B$24="J",1,0)</f>
        <v/>
      </c>
      <c r="D40" s="12" t="inlineStr">
        <is>
          <t>kr</t>
        </is>
      </c>
      <c r="E40" s="23" t="inlineStr">
        <is>
          <t>Maskinkostnader i grovfôrproduksjonane = Maskinkostnader – Mjølk [Faste kostnader!C46] × Med i totalen Mjølk [Oversikt!B16 → 1/0] + Maskinkostnader – Oksar [Faste kostnader!C47] × Med i totalen Oksar [Oversikt!B17 → 1/0] + Maskinkostnader – Mellomkalv [Faste kostnader!C48] × Med i totalen Mellomkalv [Oversikt!B18 → 1/0] + Maskinkostnader – Ammekyr [Faste kostnader!C49] × Med i totalen Ammekyr [Oversikt!B19 → 1/0] + Maskinkostnader – Sau [Faste kostnader!C53] × Med i totalen Sau [Oversikt!B23 → 1/0] + Maskinkostnader – Geit [Faste kostnader!C54] × Med i totalen Geit [Oversikt!B24 → 1/0]</t>
        </is>
      </c>
      <c r="F40" s="24" t="inlineStr">
        <is>
          <t>='Faste kostnader'!C46*IF(Oversikt!$B$16="J",1,0)+'Faste kostnader'!C47*IF(Oversikt!$B$17="J",1,0)+'Faste kostnader'!C48*IF(Oversikt!$B$18="J",1,0)+'Faste kostnader'!C49*IF(Oversikt!$B$19="J",1,0)+'Faste kostnader'!C53*IF(Oversikt!$B$23="J",1,0)+'Faste kostnader'!C54*IF(Oversikt!$B$24="J",1,0)</t>
        </is>
      </c>
    </row>
    <row r="41">
      <c r="A41" s="20" t="inlineStr">
        <is>
          <t>DB grovfôrbaserte husdyr u/tilskot</t>
        </is>
      </c>
      <c r="B41" s="21" t="inlineStr">
        <is>
          <t>Utrekna</t>
        </is>
      </c>
      <c r="C41" s="22">
        <f>'Mjølk'!C56*IF(Oversikt!$B$16="J",1,0)+Oksar!C53*IF(Oversikt!$B$17="J",1,0)+Mellomkalv!C53*IF(Oversikt!$B$18="J",1,0)+Ammekyr!C58*IF(Oversikt!$B$19="J",1,0)+Sau!C64*IF(Oversikt!$B$23="J",1,0)+Geit!C52*IF(Oversikt!$B$24="J",1,0)</f>
        <v/>
      </c>
      <c r="D41" s="12" t="inlineStr">
        <is>
          <t>kr</t>
        </is>
      </c>
      <c r="E41" s="23" t="inlineStr">
        <is>
          <t>DB grovfôrbaserte husdyr u/tilskot = Dekningsbidrag (DB) utan tilskot [Mjølk!C56] × Med i totalen Mjølk [Oversikt!B16 → 1/0] + Dekningsbidrag (DB) utan tilskot [Oksar!C53] × Med i totalen Oksar [Oversikt!B17 → 1/0] + Dekningsbidrag (DB) utan tilskot [Mellomkalv!C53] × Med i totalen Mellomkalv [Oversikt!B18 → 1/0] + Dekningsbidrag (DB) utan tilskot [Ammekyr!C58] × Med i totalen Ammekyr [Oversikt!B19 → 1/0] + Dekningsbidrag (DB) utan tilskot [Sau!C64] × Med i totalen Sau [Oversikt!B23 → 1/0] + Dekningsbidrag (DB) utan tilskot [Geit!C52] × Med i totalen Geit [Oversikt!B24 → 1/0]</t>
        </is>
      </c>
      <c r="F41" s="24" t="inlineStr">
        <is>
          <t>='Mjølk'!C56*IF(Oversikt!$B$16="J",1,0)+Oksar!C53*IF(Oversikt!$B$17="J",1,0)+Mellomkalv!C53*IF(Oversikt!$B$18="J",1,0)+Ammekyr!C58*IF(Oversikt!$B$19="J",1,0)+Sau!C64*IF(Oversikt!$B$23="J",1,0)+Geit!C52*IF(Oversikt!$B$24="J",1,0)</t>
        </is>
      </c>
    </row>
    <row r="42">
      <c r="A42" s="20" t="inlineStr">
        <is>
          <t>DB grovfôrbaserte husdyr m/tilskot</t>
        </is>
      </c>
      <c r="B42" s="21" t="inlineStr">
        <is>
          <t>Utrekna</t>
        </is>
      </c>
      <c r="C42" s="22">
        <f>'Mjølk'!C57*IF(Oversikt!$B$16="J",1,0)+Oksar!C54*IF(Oversikt!$B$17="J",1,0)+Mellomkalv!C54*IF(Oversikt!$B$18="J",1,0)+Ammekyr!C59*IF(Oversikt!$B$19="J",1,0)+Sau!C65*IF(Oversikt!$B$23="J",1,0)+Geit!C53*IF(Oversikt!$B$24="J",1,0)</f>
        <v/>
      </c>
      <c r="D42" s="12" t="inlineStr">
        <is>
          <t>kr</t>
        </is>
      </c>
      <c r="E42" s="23" t="inlineStr">
        <is>
          <t>DB grovfôrbaserte husdyr m/tilskot = Dekningsbidrag (DB) med tilskot [Mjølk!C57] × Med i totalen Mjølk [Oversikt!B16 → 1/0] + Dekningsbidrag (DB) med tilskot [Oksar!C54] × Med i totalen Oksar [Oversikt!B17 → 1/0] + Dekningsbidrag (DB) med tilskot [Mellomkalv!C54] × Med i totalen Mellomkalv [Oversikt!B18 → 1/0] + Dekningsbidrag (DB) med tilskot [Ammekyr!C59] × Med i totalen Ammekyr [Oversikt!B19 → 1/0] + Dekningsbidrag (DB) med tilskot [Sau!C65] × Med i totalen Sau [Oversikt!B23 → 1/0] + Dekningsbidrag (DB) med tilskot [Geit!C53] × Med i totalen Geit [Oversikt!B24 → 1/0]</t>
        </is>
      </c>
      <c r="F42" s="24" t="inlineStr">
        <is>
          <t>='Mjølk'!C57*IF(Oversikt!$B$16="J",1,0)+Oksar!C54*IF(Oversikt!$B$17="J",1,0)+Mellomkalv!C54*IF(Oversikt!$B$18="J",1,0)+Ammekyr!C59*IF(Oversikt!$B$19="J",1,0)+Sau!C65*IF(Oversikt!$B$23="J",1,0)+Geit!C53*IF(Oversikt!$B$24="J",1,0)</t>
        </is>
      </c>
    </row>
    <row r="43">
      <c r="A43" s="18" t="inlineStr">
        <is>
          <t>4b. UTREKNING – Arealbehov etter fôrnorm (kontroll av grovfôrbalansen)</t>
        </is>
      </c>
      <c r="B43" s="19" t="n"/>
      <c r="C43" s="19" t="n"/>
      <c r="D43" s="19" t="n"/>
      <c r="E43" s="19" t="n"/>
      <c r="F43" s="19" t="n"/>
    </row>
    <row r="44">
      <c r="A44" s="20" t="inlineStr">
        <is>
          <t>Arealbehov etter fôrnorm – Mjølk</t>
        </is>
      </c>
      <c r="B44" s="21" t="inlineStr">
        <is>
          <t>Utrekna</t>
        </is>
      </c>
      <c r="C44" s="36">
        <f>'Mjølk'!C7*('Mjølk'!C17/625+'Mjølk'!C18/650)*IF(Oversikt!$B$16="J",1,0)</f>
        <v/>
      </c>
      <c r="D44" s="12" t="inlineStr">
        <is>
          <t>da</t>
        </is>
      </c>
      <c r="E44" s="23" t="inlineStr">
        <is>
          <t>Arealbehov etter fôrnorm – Mjølk = Tal årskyr [Mjølk!C7] × (Fôrnorm beite (FEm) [Mjølk!C17] / 625 + Fôrnorm eige grovfôr vinter (FEm) [Mjølk!C18] / 650) × Med i totalen Mjølk [Oversikt!B16 → 1/0]   (Beite 250 FEm/da delt på 2,5 og eige grovfôr 650 FEm/da – same omrekning som korrigert areal)</t>
        </is>
      </c>
      <c r="F44" s="24" t="inlineStr">
        <is>
          <t>='Mjølk'!C7*('Mjølk'!C17/625+'Mjølk'!C18/650)*IF(Oversikt!$B$16="J",1,0)</t>
        </is>
      </c>
    </row>
    <row r="45">
      <c r="A45" s="20" t="inlineStr">
        <is>
          <t>Arealbehov etter fôrnorm – Oksar</t>
        </is>
      </c>
      <c r="B45" s="21" t="inlineStr">
        <is>
          <t>Utrekna</t>
        </is>
      </c>
      <c r="C45" s="36">
        <f>Oksar!C7*(Oksar!C16/625+Oksar!C17/650)*IF(Oversikt!$B$17="J",1,0)</f>
        <v/>
      </c>
      <c r="D45" s="12" t="inlineStr">
        <is>
          <t>da</t>
        </is>
      </c>
      <c r="E45" s="23" t="inlineStr">
        <is>
          <t>Arealbehov etter fôrnorm – Oksar = Tal produserte oksar [Oksar!C7] × (Fôrnorm beite (FEm) [Oksar!C16] / 625 + Fôrnorm eige grovfôr vinter (FEm) [Oksar!C17] / 650) × Med i totalen Oksar [Oversikt!B17 → 1/0]   (Beite 250 FEm/da delt på 2,5 og eige grovfôr 650 FEm/da – same omrekning som korrigert areal)</t>
        </is>
      </c>
      <c r="F45" s="24" t="inlineStr">
        <is>
          <t>=Oksar!C7*(Oksar!C16/625+Oksar!C17/650)*IF(Oversikt!$B$17="J",1,0)</t>
        </is>
      </c>
    </row>
    <row r="46">
      <c r="A46" s="20" t="inlineStr">
        <is>
          <t>Arealbehov etter fôrnorm – Mellomkalv</t>
        </is>
      </c>
      <c r="B46" s="21" t="inlineStr">
        <is>
          <t>Utrekna</t>
        </is>
      </c>
      <c r="C46" s="36">
        <f>Mellomkalv!C7*(Mellomkalv!C16/625+Mellomkalv!C17/650)*IF(Oversikt!$B$18="J",1,0)</f>
        <v/>
      </c>
      <c r="D46" s="12" t="inlineStr">
        <is>
          <t>da</t>
        </is>
      </c>
      <c r="E46" s="23" t="inlineStr">
        <is>
          <t>Arealbehov etter fôrnorm – Mellomkalv = Tal produserte kalvar [Mellomkalv!C7] × (Fôrnorm beite (FEm) [Mellomkalv!C16] / 625 + Fôrnorm eige grovfôr vinter (FEm) [Mellomkalv!C17] / 650) × Med i totalen Mellomkalv [Oversikt!B18 → 1/0]   (Beite 250 FEm/da delt på 2,5 og eige grovfôr 650 FEm/da – same omrekning som korrigert areal)</t>
        </is>
      </c>
      <c r="F46" s="24" t="inlineStr">
        <is>
          <t>=Mellomkalv!C7*(Mellomkalv!C16/625+Mellomkalv!C17/650)*IF(Oversikt!$B$18="J",1,0)</t>
        </is>
      </c>
    </row>
    <row r="47">
      <c r="A47" s="20" t="inlineStr">
        <is>
          <t>Arealbehov etter fôrnorm – Ammekyr</t>
        </is>
      </c>
      <c r="B47" s="21" t="inlineStr">
        <is>
          <t>Utrekna</t>
        </is>
      </c>
      <c r="C47" s="36">
        <f>Ammekyr!C7*(Ammekyr!C21/625+Ammekyr!C22/650)*IF(Oversikt!$B$19="J",1,0)</f>
        <v/>
      </c>
      <c r="D47" s="12" t="inlineStr">
        <is>
          <t>da</t>
        </is>
      </c>
      <c r="E47" s="23" t="inlineStr">
        <is>
          <t>Arealbehov etter fôrnorm – Ammekyr = Tal ammekyr [Ammekyr!C7] × (Fôrnorm beite (FEm) [Ammekyr!C21] / 625 + Fôrnorm eige grovfôr vinter (FEm) [Ammekyr!C22] / 650) × Med i totalen Ammekyr [Oversikt!B19 → 1/0]   (Beite 250 FEm/da delt på 2,5 og eige grovfôr 650 FEm/da – same omrekning som korrigert areal)</t>
        </is>
      </c>
      <c r="F47" s="24" t="inlineStr">
        <is>
          <t>=Ammekyr!C7*(Ammekyr!C21/625+Ammekyr!C22/650)*IF(Oversikt!$B$19="J",1,0)</t>
        </is>
      </c>
    </row>
    <row r="48">
      <c r="A48" s="20" t="inlineStr">
        <is>
          <t>Arealbehov etter fôrnorm – Sau</t>
        </is>
      </c>
      <c r="B48" s="21" t="inlineStr">
        <is>
          <t>Utrekna</t>
        </is>
      </c>
      <c r="C48" s="36">
        <f>Sau!C7*(Sau!C25/625+Sau!C26/650)*IF(Oversikt!$B$23="J",1,0)</f>
        <v/>
      </c>
      <c r="D48" s="12" t="inlineStr">
        <is>
          <t>da</t>
        </is>
      </c>
      <c r="E48" s="23" t="inlineStr">
        <is>
          <t>Arealbehov etter fôrnorm – Sau = Tal vinterfôra sau [Sau!C7] × (Fôrnorm beite (FEm) [Sau!C25] / 625 + Fôrnorm eige grovfôr vinter (FEm) [Sau!C26] / 650) × Med i totalen Sau [Oversikt!B23 → 1/0]   (Beite 250 FEm/da delt på 2,5 og eige grovfôr 650 FEm/da – same omrekning som korrigert areal)</t>
        </is>
      </c>
      <c r="F48" s="24" t="inlineStr">
        <is>
          <t>=Sau!C7*(Sau!C25/625+Sau!C26/650)*IF(Oversikt!$B$23="J",1,0)</t>
        </is>
      </c>
    </row>
    <row r="49">
      <c r="A49" s="20" t="inlineStr">
        <is>
          <t>Arealbehov etter fôrnorm – Geit</t>
        </is>
      </c>
      <c r="B49" s="21" t="inlineStr">
        <is>
          <t>Utrekna</t>
        </is>
      </c>
      <c r="C49" s="36">
        <f>Geit!C7*(Geit!C14/625+Geit!C15/650)*IF(Oversikt!$B$24="J",1,0)</f>
        <v/>
      </c>
      <c r="D49" s="12" t="inlineStr">
        <is>
          <t>da</t>
        </is>
      </c>
      <c r="E49" s="23" t="inlineStr">
        <is>
          <t>Arealbehov etter fôrnorm – Geit = Tal årsgeiter [Geit!C7] × (Fôrnorm beite (FEm) [Geit!C14] / 625 + Fôrnorm eige grovfôr vinter (FEm) [Geit!C15] / 650) × Med i totalen Geit [Oversikt!B24 → 1/0]   (Beite 250 FEm/da delt på 2,5 og eige grovfôr 650 FEm/da – same omrekning som korrigert areal)</t>
        </is>
      </c>
      <c r="F49" s="24" t="inlineStr">
        <is>
          <t>=Geit!C7*(Geit!C14/625+Geit!C15/650)*IF(Oversikt!$B$24="J",1,0)</t>
        </is>
      </c>
    </row>
    <row r="50">
      <c r="A50" s="20" t="inlineStr">
        <is>
          <t>Sum arealbehov etter fôrnorm</t>
        </is>
      </c>
      <c r="B50" s="21" t="inlineStr">
        <is>
          <t>Utrekna</t>
        </is>
      </c>
      <c r="C50" s="36">
        <f>C44+C45+C46+C47+C48+C49</f>
        <v/>
      </c>
      <c r="D50" s="12" t="inlineStr">
        <is>
          <t>da</t>
        </is>
      </c>
      <c r="E50" s="23" t="inlineStr">
        <is>
          <t>Sum arealbehov etter fôrnorm = Arealbehov etter fôrnorm – Mjølk [C44] + Arealbehov etter fôrnorm – Oksar [C45] + Arealbehov etter fôrnorm – Mellomkalv [C46] + Arealbehov etter fôrnorm – Ammekyr [C47] + Arealbehov etter fôrnorm – Sau [C48] + Arealbehov etter fôrnorm – Geit [C49]</t>
        </is>
      </c>
      <c r="F50" s="24" t="inlineStr">
        <is>
          <t>=C44+C45+C46+C47+C48+C49</t>
        </is>
      </c>
    </row>
    <row r="51">
      <c r="A51" s="18" t="inlineStr">
        <is>
          <t>5. OUTPUT – Nøkkeltal grovfôr</t>
        </is>
      </c>
      <c r="B51" s="19" t="n"/>
      <c r="C51" s="19" t="n"/>
      <c r="D51" s="19" t="n"/>
      <c r="E51" s="19" t="n"/>
      <c r="F51" s="19" t="n"/>
    </row>
    <row r="52">
      <c r="A52" s="25" t="inlineStr">
        <is>
          <t>Variabel grovfôrkostnad pr korrigert dekar</t>
        </is>
      </c>
      <c r="B52" s="26" t="inlineStr">
        <is>
          <t>Utrekna</t>
        </is>
      </c>
      <c r="C52" s="39">
        <f>IF((C21)=0,0,(C39)/(C21))</f>
        <v/>
      </c>
      <c r="D52" s="28" t="inlineStr">
        <is>
          <t>kr</t>
        </is>
      </c>
      <c r="E52" s="29" t="inlineStr">
        <is>
          <t>Variabel grovfôrkostnad pr korrigert dekar = Sum variabel grovfôrkostnad (utan plast) [C39] ÷ Korrigert grovfôrareal (overflate/1,25 + fulldyrka + kulturbeite/2,5) [C21]</t>
        </is>
      </c>
      <c r="F52" s="30" t="inlineStr">
        <is>
          <t>=IF((C21)=0,0,(C39)/(C21))</t>
        </is>
      </c>
    </row>
    <row r="53">
      <c r="A53" s="25" t="inlineStr">
        <is>
          <t>Maskinkostnader pr dekar grovfôr</t>
        </is>
      </c>
      <c r="B53" s="26" t="inlineStr">
        <is>
          <t>Utrekna</t>
        </is>
      </c>
      <c r="C53" s="39">
        <f>IF((C20)=0,0,(C40)/(C20))</f>
        <v/>
      </c>
      <c r="D53" s="28" t="inlineStr">
        <is>
          <t>kr</t>
        </is>
      </c>
      <c r="E53" s="29" t="inlineStr">
        <is>
          <t>Maskinkostnader pr dekar grovfôr = Maskinkostnader i grovfôrproduksjonane [C40] ÷ Dekar grovfôr – maskinkostnadsgrunnlag (overflate/2 + fulldyrka + kulturbeite×10 %) [C20]</t>
        </is>
      </c>
      <c r="F53" s="30" t="inlineStr">
        <is>
          <t>=IF((C20)=0,0,(C40)/(C20))</t>
        </is>
      </c>
    </row>
    <row r="54">
      <c r="A54" s="25" t="inlineStr">
        <is>
          <t>Korrigerte dekar pr «kueining»</t>
        </is>
      </c>
      <c r="B54" s="26" t="inlineStr">
        <is>
          <t>Utrekna</t>
        </is>
      </c>
      <c r="C54" s="39">
        <f>IF((C31)=0,0,(C21)/(C31))</f>
        <v/>
      </c>
      <c r="D54" s="28" t="inlineStr">
        <is>
          <t>da</t>
        </is>
      </c>
      <c r="E54" s="29" t="inlineStr">
        <is>
          <t>Korrigerte dekar pr «kueining» = Korrigert grovfôrareal (overflate/1,25 + fulldyrka + kulturbeite/2,5) [C21] ÷ Sum «kueiningar» [C31]</t>
        </is>
      </c>
      <c r="F54" s="30" t="inlineStr">
        <is>
          <t>=IF((C31)=0,0,(C21)/(C31))</t>
        </is>
      </c>
    </row>
    <row r="55">
      <c r="A55" s="25" t="inlineStr">
        <is>
          <t>Dekar fulldyrka pr «kueining»</t>
        </is>
      </c>
      <c r="B55" s="26" t="inlineStr">
        <is>
          <t>Utrekna</t>
        </is>
      </c>
      <c r="C55" s="39">
        <f>IF((C31)=0,0,(C18)/(C31))</f>
        <v/>
      </c>
      <c r="D55" s="28" t="inlineStr">
        <is>
          <t>da</t>
        </is>
      </c>
      <c r="E55" s="29" t="inlineStr">
        <is>
          <t>Dekar fulldyrka pr «kueining» = Fulldyrka til eigen grovfôrbasert husdyrproduksjon [C18] ÷ Sum «kueiningar» [C31]</t>
        </is>
      </c>
      <c r="F55" s="30" t="inlineStr">
        <is>
          <t>=IF((C31)=0,0,(C18)/(C31))</t>
        </is>
      </c>
    </row>
    <row r="56">
      <c r="A56" s="25" t="inlineStr">
        <is>
          <t>Dekar kulturbeite pr «kueining»</t>
        </is>
      </c>
      <c r="B56" s="26" t="inlineStr">
        <is>
          <t>Utrekna</t>
        </is>
      </c>
      <c r="C56" s="39">
        <f>IF((C31)=0,0,(C19)/(C31))</f>
        <v/>
      </c>
      <c r="D56" s="28" t="inlineStr">
        <is>
          <t>da</t>
        </is>
      </c>
      <c r="E56" s="29" t="inlineStr">
        <is>
          <t>Dekar kulturbeite pr «kueining» = Kulturbeite til eige bruk [C19] ÷ Sum «kueiningar» [C31]</t>
        </is>
      </c>
      <c r="F56" s="30" t="inlineStr">
        <is>
          <t>=IF((C31)=0,0,(C19)/(C31))</t>
        </is>
      </c>
    </row>
    <row r="57">
      <c r="A57" s="25" t="inlineStr">
        <is>
          <t>FEm frå utmark pr «kueining»</t>
        </is>
      </c>
      <c r="B57" s="26" t="inlineStr">
        <is>
          <t>Utrekna</t>
        </is>
      </c>
      <c r="C57" s="27">
        <f>IF((C31)=0,0,(C22)/(C31))</f>
        <v/>
      </c>
      <c r="D57" s="28" t="inlineStr">
        <is>
          <t>FEm</t>
        </is>
      </c>
      <c r="E57" s="29" t="inlineStr">
        <is>
          <t>FEm frå utmark pr «kueining» = Fôreiningar (FEm) henta frå utmark [C22] ÷ Sum «kueiningar» [C31]</t>
        </is>
      </c>
      <c r="F57" s="30" t="inlineStr">
        <is>
          <t>=IF((C31)=0,0,(C22)/(C31))</t>
        </is>
      </c>
    </row>
    <row r="58">
      <c r="A58" s="25" t="inlineStr">
        <is>
          <t>DB grovfôrbaserte husdyr u/tilskot pr korrigert dekar</t>
        </is>
      </c>
      <c r="B58" s="26" t="inlineStr">
        <is>
          <t>Utrekna</t>
        </is>
      </c>
      <c r="C58" s="39">
        <f>IF((C21)=0,0,(C41)/(C21))</f>
        <v/>
      </c>
      <c r="D58" s="28" t="inlineStr">
        <is>
          <t>kr</t>
        </is>
      </c>
      <c r="E58" s="29" t="inlineStr">
        <is>
          <t>DB grovfôrbaserte husdyr u/tilskot pr korrigert dekar = DB grovfôrbaserte husdyr u/tilskot [C41] ÷ Korrigert grovfôrareal (overflate/1,25 + fulldyrka + kulturbeite/2,5) [C21]</t>
        </is>
      </c>
      <c r="F58" s="30" t="inlineStr">
        <is>
          <t>=IF((C21)=0,0,(C41)/(C21))</t>
        </is>
      </c>
    </row>
    <row r="59">
      <c r="A59" s="25" t="inlineStr">
        <is>
          <t>DB grovfôrbaserte husdyr m/tilskot pr korrigert dekar</t>
        </is>
      </c>
      <c r="B59" s="26" t="inlineStr">
        <is>
          <t>Utrekna</t>
        </is>
      </c>
      <c r="C59" s="39">
        <f>IF((C21)=0,0,(C42)/(C21))</f>
        <v/>
      </c>
      <c r="D59" s="28" t="inlineStr">
        <is>
          <t>kr</t>
        </is>
      </c>
      <c r="E59" s="29" t="inlineStr">
        <is>
          <t>DB grovfôrbaserte husdyr m/tilskot pr korrigert dekar = DB grovfôrbaserte husdyr m/tilskot [C42] ÷ Korrigert grovfôrareal (overflate/1,25 + fulldyrka + kulturbeite/2,5) [C21]</t>
        </is>
      </c>
      <c r="F59" s="30" t="inlineStr">
        <is>
          <t>=IF((C21)=0,0,(C42)/(C21))</t>
        </is>
      </c>
    </row>
    <row r="60">
      <c r="A60" s="25" t="inlineStr">
        <is>
          <t>Korrigert grovfôrareal i % av arealbehov etter fôrnorm</t>
        </is>
      </c>
      <c r="B60" s="26" t="inlineStr">
        <is>
          <t>Utrekna</t>
        </is>
      </c>
      <c r="C60" s="33">
        <f>IF((C50)=0,0,(C21)/(C50))</f>
        <v/>
      </c>
      <c r="D60" s="28" t="inlineStr">
        <is>
          <t>%</t>
        </is>
      </c>
      <c r="E60" s="29" t="inlineStr">
        <is>
          <t>Korrigert grovfôrareal i % av arealbehov etter fôrnorm = Korrigert grovfôrareal (overflate/1,25 + fulldyrka + kulturbeite/2,5) [C21] ÷ Sum arealbehov etter fôrnorm [C50]   (Under 100 % tyder på kjøpt fôr eller høge avlingar, over 100 % på overskot av areal)</t>
        </is>
      </c>
      <c r="F60" s="30" t="inlineStr">
        <is>
          <t>=IF((C50)=0,0,(C21)/(C50))</t>
        </is>
      </c>
    </row>
  </sheetData>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F54"/>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0" customWidth="1" min="1" max="1"/>
    <col width="34" customWidth="1" min="2" max="2"/>
    <col width="16" customWidth="1" min="3" max="3"/>
    <col width="10" customWidth="1" min="4" max="4"/>
    <col width="78" customWidth="1" min="5" max="5"/>
    <col width="46" customWidth="1" min="6" max="6"/>
  </cols>
  <sheetData>
    <row r="1" ht="22" customHeight="1">
      <c r="A1" s="1" t="inlineStr">
        <is>
          <t>Kornproduksjon  –  driftsgrein 1100-1190</t>
        </is>
      </c>
    </row>
    <row r="2">
      <c r="A2" s="7" t="inlineStr">
        <is>
          <t>Korn til modning (driftsgrein 1100–1190).</t>
        </is>
      </c>
    </row>
    <row r="3">
      <c r="A3" s="8" t="inlineStr">
        <is>
          <t>Fargekodar:  blå tal på gul botn = input (skal fyllast inn)   ·   svart = formel   ·   grøn = lenkje frå anna ark.   Alle kronebeløp er positive (inntekt og kostnad).</t>
        </is>
      </c>
    </row>
    <row r="5">
      <c r="A5" s="17" t="inlineStr">
        <is>
          <t>Post</t>
        </is>
      </c>
      <c r="B5" s="17" t="inlineStr">
        <is>
          <t>Kjelde / Tripletex-konto</t>
        </is>
      </c>
      <c r="C5" s="17" t="inlineStr">
        <is>
          <t>Verdi</t>
        </is>
      </c>
      <c r="D5" s="17" t="inlineStr">
        <is>
          <t>Eining</t>
        </is>
      </c>
      <c r="E5" s="17" t="inlineStr">
        <is>
          <t>Formel forklart (korleis outputen blir rekna)</t>
        </is>
      </c>
      <c r="F5" s="17" t="inlineStr">
        <is>
          <t>Excel-formel</t>
        </is>
      </c>
    </row>
    <row r="6">
      <c r="A6" s="18" t="inlineStr">
        <is>
          <t>1. INPUT – Produksjonsdata</t>
        </is>
      </c>
      <c r="B6" s="19" t="n"/>
      <c r="C6" s="19" t="n"/>
      <c r="D6" s="19" t="n"/>
      <c r="E6" s="19" t="n"/>
      <c r="F6" s="19" t="n"/>
    </row>
    <row r="7">
      <c r="A7" s="20" t="inlineStr">
        <is>
          <t>Tal dekar</t>
        </is>
      </c>
      <c r="B7" s="24" t="inlineStr">
        <is>
          <t>Produksjonstabell / søknad om produksjonstilskot</t>
        </is>
      </c>
      <c r="C7" s="31" t="n">
        <v>60</v>
      </c>
      <c r="D7" s="12" t="inlineStr">
        <is>
          <t>da</t>
        </is>
      </c>
      <c r="E7" s="24" t="inlineStr">
        <is>
          <t>Input. Hentast frå: Produksjonstabell / søknad om produksjonstilskot.</t>
        </is>
      </c>
      <c r="F7" s="32" t="n"/>
    </row>
    <row r="8">
      <c r="A8" s="20" t="inlineStr">
        <is>
          <t>Avling totalt</t>
        </is>
      </c>
      <c r="B8" s="24" t="inlineStr">
        <is>
          <t>Produksjonstabell / avlingsregistrering</t>
        </is>
      </c>
      <c r="C8" s="31" t="n">
        <v>24000</v>
      </c>
      <c r="D8" s="12" t="inlineStr">
        <is>
          <t>kg</t>
        </is>
      </c>
      <c r="E8" s="24" t="inlineStr">
        <is>
          <t>Input. Hentast frå: Produksjonstabell / avlingsregistrering.</t>
        </is>
      </c>
      <c r="F8" s="32" t="n"/>
    </row>
    <row r="9">
      <c r="A9" s="20" t="inlineStr">
        <is>
          <t>Seld mengd</t>
        </is>
      </c>
      <c r="B9" s="24" t="inlineStr">
        <is>
          <t>Mengde 1/2 på salskonto (3000-3007)</t>
        </is>
      </c>
      <c r="C9" s="31" t="n">
        <v>20000</v>
      </c>
      <c r="D9" s="12" t="inlineStr">
        <is>
          <t>kg</t>
        </is>
      </c>
      <c r="E9" s="24" t="inlineStr">
        <is>
          <t>Input. Hentast frå: Mengde 1/2 på salskonto (3000-3007).</t>
        </is>
      </c>
      <c r="F9" s="32" t="n"/>
    </row>
    <row r="10">
      <c r="A10" s="18" t="inlineStr">
        <is>
          <t>2. INPUT – Rekneskapstal (kr) frå saldobalansen etter korrigeringar</t>
        </is>
      </c>
      <c r="B10" s="19" t="n"/>
      <c r="C10" s="19" t="n"/>
      <c r="D10" s="19" t="n"/>
      <c r="E10" s="19" t="n"/>
      <c r="F10" s="19" t="n"/>
    </row>
    <row r="11">
      <c r="A11" s="20" t="inlineStr">
        <is>
          <t>Produksjonstilskot fordelt på produksjonen</t>
        </is>
      </c>
      <c r="B11" s="24" t="inlineStr">
        <is>
          <t>34xx (ikkje 344x avløysartilskot)</t>
        </is>
      </c>
      <c r="C11" s="31" t="n">
        <v>42000</v>
      </c>
      <c r="D11" s="12" t="inlineStr">
        <is>
          <t>kr</t>
        </is>
      </c>
      <c r="E11" s="24" t="inlineStr">
        <is>
          <t>Input. Hentast frå: 34xx (ikkje 344x avløysartilskot).</t>
        </is>
      </c>
      <c r="F11" s="32" t="n"/>
    </row>
    <row r="12">
      <c r="A12" s="20" t="inlineStr">
        <is>
          <t>Sal av korn</t>
        </is>
      </c>
      <c r="B12" s="24" t="inlineStr">
        <is>
          <t>3000-3007</t>
        </is>
      </c>
      <c r="C12" s="31" t="n">
        <v>72000</v>
      </c>
      <c r="D12" s="12" t="inlineStr">
        <is>
          <t>kr</t>
        </is>
      </c>
      <c r="E12" s="24" t="inlineStr">
        <is>
          <t>Input. Hentast frå: 3000-3007.</t>
        </is>
      </c>
      <c r="F12" s="32" t="n"/>
    </row>
    <row r="13">
      <c r="A13" s="20" t="inlineStr">
        <is>
          <t>Sal av halm</t>
        </is>
      </c>
      <c r="B13" s="24" t="inlineStr">
        <is>
          <t>3096</t>
        </is>
      </c>
      <c r="C13" s="31" t="n">
        <v>6000</v>
      </c>
      <c r="D13" s="12" t="inlineStr">
        <is>
          <t>kr</t>
        </is>
      </c>
      <c r="E13" s="24" t="inlineStr">
        <is>
          <t>Input. Hentast frå: 3096.</t>
        </is>
      </c>
      <c r="F13" s="32" t="n"/>
    </row>
    <row r="14">
      <c r="A14" s="20" t="inlineStr">
        <is>
          <t>Beholdningsendring ferdigvarer (+ = auke)</t>
        </is>
      </c>
      <c r="B14" s="24" t="inlineStr">
        <is>
          <t>4290-4298 (forteikn snudd)</t>
        </is>
      </c>
      <c r="C14" s="31" t="n">
        <v>3000</v>
      </c>
      <c r="D14" s="12" t="inlineStr">
        <is>
          <t>kr</t>
        </is>
      </c>
      <c r="E14" s="24" t="inlineStr">
        <is>
          <t>Input. Hentast frå: 4290-4298 (forteikn snudd).</t>
        </is>
      </c>
      <c r="F14" s="32" t="n"/>
    </row>
    <row r="15">
      <c r="A15" s="20" t="inlineStr">
        <is>
          <t>Andre inntekter</t>
        </is>
      </c>
      <c r="B15" s="24" t="inlineStr">
        <is>
          <t>andre 3xxx kopla til produksjonen</t>
        </is>
      </c>
      <c r="C15" s="31" t="n">
        <v>0</v>
      </c>
      <c r="D15" s="12" t="inlineStr">
        <is>
          <t>kr</t>
        </is>
      </c>
      <c r="E15" s="24" t="inlineStr">
        <is>
          <t>Input. Hentast frå: andre 3xxx kopla til produksjonen.</t>
        </is>
      </c>
      <c r="F15" s="32" t="n"/>
    </row>
    <row r="16">
      <c r="A16" s="18" t="inlineStr">
        <is>
          <t>Variable kostnader</t>
        </is>
      </c>
      <c r="B16" s="19" t="n"/>
      <c r="C16" s="19" t="n"/>
      <c r="D16" s="19" t="n"/>
      <c r="E16" s="19" t="n"/>
      <c r="F16" s="19" t="n"/>
    </row>
    <row r="17">
      <c r="A17" s="20" t="inlineStr">
        <is>
          <t>Gjødsel og kalk</t>
        </is>
      </c>
      <c r="B17" s="24" t="inlineStr">
        <is>
          <t>4050, 4057, 4095</t>
        </is>
      </c>
      <c r="C17" s="31" t="n">
        <v>27000</v>
      </c>
      <c r="D17" s="12" t="inlineStr">
        <is>
          <t>kr</t>
        </is>
      </c>
      <c r="E17" s="24" t="inlineStr">
        <is>
          <t>Input. Hentast frå: 4050, 4057, 4095.</t>
        </is>
      </c>
      <c r="F17" s="32" t="n"/>
    </row>
    <row r="18">
      <c r="A18" s="20" t="inlineStr">
        <is>
          <t>Plantevernmiddel</t>
        </is>
      </c>
      <c r="B18" s="24" t="inlineStr">
        <is>
          <t>4110, 4111, 4191</t>
        </is>
      </c>
      <c r="C18" s="31" t="n">
        <v>9000</v>
      </c>
      <c r="D18" s="12" t="inlineStr">
        <is>
          <t>kr</t>
        </is>
      </c>
      <c r="E18" s="24" t="inlineStr">
        <is>
          <t>Input. Hentast frå: 4110, 4111, 4191.</t>
        </is>
      </c>
      <c r="F18" s="32" t="n"/>
    </row>
    <row r="19">
      <c r="A19" s="20" t="inlineStr">
        <is>
          <t>Såkorn</t>
        </is>
      </c>
      <c r="B19" s="24" t="inlineStr">
        <is>
          <t>4000</t>
        </is>
      </c>
      <c r="C19" s="31" t="n">
        <v>15000</v>
      </c>
      <c r="D19" s="12" t="inlineStr">
        <is>
          <t>kr</t>
        </is>
      </c>
      <c r="E19" s="24" t="inlineStr">
        <is>
          <t>Input. Hentast frå: 4000.</t>
        </is>
      </c>
      <c r="F19" s="32" t="n"/>
    </row>
    <row r="20">
      <c r="A20" s="20" t="inlineStr">
        <is>
          <t>Andre variable kostnader</t>
        </is>
      </c>
      <c r="B20" s="24" t="inlineStr">
        <is>
          <t>4540-4549, 4160 + andre 4xxx</t>
        </is>
      </c>
      <c r="C20" s="31" t="n">
        <v>8000</v>
      </c>
      <c r="D20" s="12" t="inlineStr">
        <is>
          <t>kr</t>
        </is>
      </c>
      <c r="E20" s="24" t="inlineStr">
        <is>
          <t>Input. Hentast frå: 4540-4549, 4160 + andre 4xxx.</t>
        </is>
      </c>
      <c r="F20" s="32" t="n"/>
    </row>
    <row r="21">
      <c r="A21" s="18" t="inlineStr">
        <is>
          <t>3. INPUT – Fordelte faste kostnader (lenka frå arket «Faste kostnader»)</t>
        </is>
      </c>
      <c r="B21" s="19" t="n"/>
      <c r="C21" s="19" t="n"/>
      <c r="D21" s="19" t="n"/>
      <c r="E21" s="19" t="n"/>
      <c r="F21" s="19" t="n"/>
    </row>
    <row r="22">
      <c r="A22" s="20" t="inlineStr">
        <is>
          <t>Maskinkostnader fordelt</t>
        </is>
      </c>
      <c r="B22" s="21" t="inlineStr">
        <is>
          <t>Lenkje frå anna ark</t>
        </is>
      </c>
      <c r="C22" s="13">
        <f>'Faste kostnader'!C37</f>
        <v/>
      </c>
      <c r="D22" s="12" t="inlineStr">
        <is>
          <t>kr</t>
        </is>
      </c>
      <c r="E22" s="23" t="inlineStr">
        <is>
          <t>Maskinkostnader fordelt = Maskinkostnader – Korn [Faste kostnader!C37]</t>
        </is>
      </c>
      <c r="F22" s="24" t="inlineStr">
        <is>
          <t>='Faste kostnader'!C37</t>
        </is>
      </c>
    </row>
    <row r="23">
      <c r="A23" s="18" t="inlineStr">
        <is>
          <t>4. UTREKNING – Totalt for produksjonen</t>
        </is>
      </c>
      <c r="B23" s="19" t="n"/>
      <c r="C23" s="19" t="n"/>
      <c r="D23" s="19" t="n"/>
      <c r="E23" s="19" t="n"/>
      <c r="F23" s="19" t="n"/>
    </row>
    <row r="24">
      <c r="A24" s="20" t="inlineStr">
        <is>
          <t>Produksjonsinntekter i alt</t>
        </is>
      </c>
      <c r="B24" s="21" t="inlineStr">
        <is>
          <t>Utrekna</t>
        </is>
      </c>
      <c r="C24" s="22">
        <f>C12+C13+C14+C15</f>
        <v/>
      </c>
      <c r="D24" s="12" t="inlineStr">
        <is>
          <t>kr</t>
        </is>
      </c>
      <c r="E24" s="23" t="inlineStr">
        <is>
          <t>Produksjonsinntekter i alt = Sal av korn [C12] + Sal av halm [C13] + Beholdningsendring ferdigvarer (+ = auke) [C14] + Andre inntekter [C15]</t>
        </is>
      </c>
      <c r="F24" s="24" t="inlineStr">
        <is>
          <t>=C12+C13+C14+C15</t>
        </is>
      </c>
    </row>
    <row r="25">
      <c r="A25" s="20" t="inlineStr">
        <is>
          <t>Variable kostnader i alt</t>
        </is>
      </c>
      <c r="B25" s="21" t="inlineStr">
        <is>
          <t>Utrekna</t>
        </is>
      </c>
      <c r="C25" s="22">
        <f>C17+C18+C19+C20</f>
        <v/>
      </c>
      <c r="D25" s="12" t="inlineStr">
        <is>
          <t>kr</t>
        </is>
      </c>
      <c r="E25" s="23" t="inlineStr">
        <is>
          <t>Variable kostnader i alt = Gjødsel og kalk [C17] + Plantevernmiddel [C18] + Såkorn [C19] + Andre variable kostnader [C20]</t>
        </is>
      </c>
      <c r="F25" s="24" t="inlineStr">
        <is>
          <t>=C17+C18+C19+C20</t>
        </is>
      </c>
    </row>
    <row r="26">
      <c r="A26" s="25" t="inlineStr">
        <is>
          <t>Dekningsbidrag (DB) utan tilskot</t>
        </is>
      </c>
      <c r="B26" s="26" t="inlineStr">
        <is>
          <t>Utrekna</t>
        </is>
      </c>
      <c r="C26" s="27">
        <f>C24-C25</f>
        <v/>
      </c>
      <c r="D26" s="28" t="inlineStr">
        <is>
          <t>kr</t>
        </is>
      </c>
      <c r="E26" s="29" t="inlineStr">
        <is>
          <t>Dekningsbidrag (DB) utan tilskot = Produksjonsinntekter i alt [C24] − Variable kostnader i alt [C25]</t>
        </is>
      </c>
      <c r="F26" s="30" t="inlineStr">
        <is>
          <t>=C24-C25</t>
        </is>
      </c>
    </row>
    <row r="27">
      <c r="A27" s="25" t="inlineStr">
        <is>
          <t>Dekningsbidrag (DB) med tilskot</t>
        </is>
      </c>
      <c r="B27" s="26" t="inlineStr">
        <is>
          <t>Utrekna</t>
        </is>
      </c>
      <c r="C27" s="27">
        <f>C26+C11</f>
        <v/>
      </c>
      <c r="D27" s="28" t="inlineStr">
        <is>
          <t>kr</t>
        </is>
      </c>
      <c r="E27" s="29" t="inlineStr">
        <is>
          <t>Dekningsbidrag (DB) med tilskot = Dekningsbidrag (DB) utan tilskot [C26] + Produksjonstilskot fordelt på produksjonen [C11]</t>
        </is>
      </c>
      <c r="F27" s="30" t="inlineStr">
        <is>
          <t>=C26+C11</t>
        </is>
      </c>
    </row>
    <row r="28">
      <c r="A28" s="20" t="inlineStr">
        <is>
          <t>DB m/tilskot etter maskinkostnader</t>
        </is>
      </c>
      <c r="B28" s="21" t="inlineStr">
        <is>
          <t>Utrekna</t>
        </is>
      </c>
      <c r="C28" s="22">
        <f>C27-C22</f>
        <v/>
      </c>
      <c r="D28" s="12" t="inlineStr">
        <is>
          <t>kr</t>
        </is>
      </c>
      <c r="E28" s="23" t="inlineStr">
        <is>
          <t>DB m/tilskot etter maskinkostnader = Dekningsbidrag (DB) med tilskot [C27] − Maskinkostnader fordelt [C22]</t>
        </is>
      </c>
      <c r="F28" s="24" t="inlineStr">
        <is>
          <t>=C27-C22</t>
        </is>
      </c>
    </row>
    <row r="29">
      <c r="A29" s="18" t="inlineStr">
        <is>
          <t>5. OUTPUT – Per eining (pr dekar)</t>
        </is>
      </c>
      <c r="B29" s="19" t="n"/>
      <c r="C29" s="19" t="n"/>
      <c r="D29" s="19" t="n"/>
      <c r="E29" s="19" t="n"/>
      <c r="F29" s="19" t="n"/>
    </row>
    <row r="30">
      <c r="A30" s="18" t="inlineStr">
        <is>
          <t>Produksjonsinntekter pr dekar</t>
        </is>
      </c>
      <c r="B30" s="19" t="n"/>
      <c r="C30" s="19" t="n"/>
      <c r="D30" s="19" t="n"/>
      <c r="E30" s="19" t="n"/>
      <c r="F30" s="19" t="n"/>
    </row>
    <row r="31">
      <c r="A31" s="20" t="inlineStr">
        <is>
          <t>Sal av korn</t>
        </is>
      </c>
      <c r="B31" s="21" t="inlineStr">
        <is>
          <t>Utrekna</t>
        </is>
      </c>
      <c r="C31" s="38">
        <f>IF((C7)=0,0,(C12)/(C7))</f>
        <v/>
      </c>
      <c r="D31" s="12" t="inlineStr">
        <is>
          <t>kr</t>
        </is>
      </c>
      <c r="E31" s="23" t="inlineStr">
        <is>
          <t>Sal av korn = Sal av korn [C12] ÷ Tal dekar [C7]</t>
        </is>
      </c>
      <c r="F31" s="24" t="inlineStr">
        <is>
          <t>=IF((C7)=0,0,(C12)/(C7))</t>
        </is>
      </c>
    </row>
    <row r="32">
      <c r="A32" s="20" t="inlineStr">
        <is>
          <t>Sal av halm</t>
        </is>
      </c>
      <c r="B32" s="21" t="inlineStr">
        <is>
          <t>Utrekna</t>
        </is>
      </c>
      <c r="C32" s="38">
        <f>IF((C7)=0,0,(C13)/(C7))</f>
        <v/>
      </c>
      <c r="D32" s="12" t="inlineStr">
        <is>
          <t>kr</t>
        </is>
      </c>
      <c r="E32" s="23" t="inlineStr">
        <is>
          <t>Sal av halm = Sal av halm [C13] ÷ Tal dekar [C7]</t>
        </is>
      </c>
      <c r="F32" s="24" t="inlineStr">
        <is>
          <t>=IF((C7)=0,0,(C13)/(C7))</t>
        </is>
      </c>
    </row>
    <row r="33">
      <c r="A33" s="20" t="inlineStr">
        <is>
          <t>Beholdningsendring ferdigvarer (+ = auke)</t>
        </is>
      </c>
      <c r="B33" s="21" t="inlineStr">
        <is>
          <t>Utrekna</t>
        </is>
      </c>
      <c r="C33" s="38">
        <f>IF((C7)=0,0,(C14)/(C7))</f>
        <v/>
      </c>
      <c r="D33" s="12" t="inlineStr">
        <is>
          <t>kr</t>
        </is>
      </c>
      <c r="E33" s="23" t="inlineStr">
        <is>
          <t>Beholdningsendring ferdigvarer (+ = auke) = Beholdningsendring ferdigvarer (+ = auke) [C14] ÷ Tal dekar [C7]</t>
        </is>
      </c>
      <c r="F33" s="24" t="inlineStr">
        <is>
          <t>=IF((C7)=0,0,(C14)/(C7))</t>
        </is>
      </c>
    </row>
    <row r="34">
      <c r="A34" s="20" t="inlineStr">
        <is>
          <t>Andre inntekter</t>
        </is>
      </c>
      <c r="B34" s="21" t="inlineStr">
        <is>
          <t>Utrekna</t>
        </is>
      </c>
      <c r="C34" s="38">
        <f>IF((C7)=0,0,(C15)/(C7))</f>
        <v/>
      </c>
      <c r="D34" s="12" t="inlineStr">
        <is>
          <t>kr</t>
        </is>
      </c>
      <c r="E34" s="23" t="inlineStr">
        <is>
          <t>Andre inntekter = Andre inntekter [C15] ÷ Tal dekar [C7]</t>
        </is>
      </c>
      <c r="F34" s="24" t="inlineStr">
        <is>
          <t>=IF((C7)=0,0,(C15)/(C7))</t>
        </is>
      </c>
    </row>
    <row r="35">
      <c r="A35" s="20" t="inlineStr">
        <is>
          <t>Produksjonsinntekter i alt</t>
        </is>
      </c>
      <c r="B35" s="21" t="inlineStr">
        <is>
          <t>Utrekna</t>
        </is>
      </c>
      <c r="C35" s="38">
        <f>IF((C7)=0,0,(C24)/(C7))</f>
        <v/>
      </c>
      <c r="D35" s="12" t="inlineStr">
        <is>
          <t>kr</t>
        </is>
      </c>
      <c r="E35" s="23" t="inlineStr">
        <is>
          <t>Produksjonsinntekter i alt = Produksjonsinntekter i alt [C24] ÷ Tal dekar [C7]</t>
        </is>
      </c>
      <c r="F35" s="24" t="inlineStr">
        <is>
          <t>=IF((C7)=0,0,(C24)/(C7))</t>
        </is>
      </c>
    </row>
    <row r="36">
      <c r="A36" s="18" t="inlineStr">
        <is>
          <t>Variable kostnader pr dekar</t>
        </is>
      </c>
      <c r="B36" s="19" t="n"/>
      <c r="C36" s="19" t="n"/>
      <c r="D36" s="19" t="n"/>
      <c r="E36" s="19" t="n"/>
      <c r="F36" s="19" t="n"/>
    </row>
    <row r="37">
      <c r="A37" s="20" t="inlineStr">
        <is>
          <t>Gjødsel og kalk</t>
        </is>
      </c>
      <c r="B37" s="21" t="inlineStr">
        <is>
          <t>Utrekna</t>
        </is>
      </c>
      <c r="C37" s="38">
        <f>IF((C7)=0,0,(C17)/(C7))</f>
        <v/>
      </c>
      <c r="D37" s="12" t="inlineStr">
        <is>
          <t>kr</t>
        </is>
      </c>
      <c r="E37" s="23" t="inlineStr">
        <is>
          <t>Gjødsel og kalk = Gjødsel og kalk [C17] ÷ Tal dekar [C7]</t>
        </is>
      </c>
      <c r="F37" s="24" t="inlineStr">
        <is>
          <t>=IF((C7)=0,0,(C17)/(C7))</t>
        </is>
      </c>
    </row>
    <row r="38">
      <c r="A38" s="20" t="inlineStr">
        <is>
          <t>Plantevernmiddel</t>
        </is>
      </c>
      <c r="B38" s="21" t="inlineStr">
        <is>
          <t>Utrekna</t>
        </is>
      </c>
      <c r="C38" s="38">
        <f>IF((C7)=0,0,(C18)/(C7))</f>
        <v/>
      </c>
      <c r="D38" s="12" t="inlineStr">
        <is>
          <t>kr</t>
        </is>
      </c>
      <c r="E38" s="23" t="inlineStr">
        <is>
          <t>Plantevernmiddel = Plantevernmiddel [C18] ÷ Tal dekar [C7]</t>
        </is>
      </c>
      <c r="F38" s="24" t="inlineStr">
        <is>
          <t>=IF((C7)=0,0,(C18)/(C7))</t>
        </is>
      </c>
    </row>
    <row r="39">
      <c r="A39" s="20" t="inlineStr">
        <is>
          <t>Såkorn</t>
        </is>
      </c>
      <c r="B39" s="21" t="inlineStr">
        <is>
          <t>Utrekna</t>
        </is>
      </c>
      <c r="C39" s="38">
        <f>IF((C7)=0,0,(C19)/(C7))</f>
        <v/>
      </c>
      <c r="D39" s="12" t="inlineStr">
        <is>
          <t>kr</t>
        </is>
      </c>
      <c r="E39" s="23" t="inlineStr">
        <is>
          <t>Såkorn = Såkorn [C19] ÷ Tal dekar [C7]</t>
        </is>
      </c>
      <c r="F39" s="24" t="inlineStr">
        <is>
          <t>=IF((C7)=0,0,(C19)/(C7))</t>
        </is>
      </c>
    </row>
    <row r="40">
      <c r="A40" s="20" t="inlineStr">
        <is>
          <t>Andre variable kostnader</t>
        </is>
      </c>
      <c r="B40" s="21" t="inlineStr">
        <is>
          <t>Utrekna</t>
        </is>
      </c>
      <c r="C40" s="38">
        <f>IF((C7)=0,0,(C20)/(C7))</f>
        <v/>
      </c>
      <c r="D40" s="12" t="inlineStr">
        <is>
          <t>kr</t>
        </is>
      </c>
      <c r="E40" s="23" t="inlineStr">
        <is>
          <t>Andre variable kostnader = Andre variable kostnader [C20] ÷ Tal dekar [C7]</t>
        </is>
      </c>
      <c r="F40" s="24" t="inlineStr">
        <is>
          <t>=IF((C7)=0,0,(C20)/(C7))</t>
        </is>
      </c>
    </row>
    <row r="41">
      <c r="A41" s="20" t="inlineStr">
        <is>
          <t>Sum variable kostnader</t>
        </is>
      </c>
      <c r="B41" s="21" t="inlineStr">
        <is>
          <t>Utrekna</t>
        </is>
      </c>
      <c r="C41" s="38">
        <f>IF((C7)=0,0,(C25)/(C7))</f>
        <v/>
      </c>
      <c r="D41" s="12" t="inlineStr">
        <is>
          <t>kr</t>
        </is>
      </c>
      <c r="E41" s="23" t="inlineStr">
        <is>
          <t>Sum variable kostnader = Variable kostnader i alt [C25] ÷ Tal dekar [C7]</t>
        </is>
      </c>
      <c r="F41" s="24" t="inlineStr">
        <is>
          <t>=IF((C7)=0,0,(C25)/(C7))</t>
        </is>
      </c>
    </row>
    <row r="42">
      <c r="A42" s="18" t="inlineStr">
        <is>
          <t>Resultat pr dekar</t>
        </is>
      </c>
      <c r="B42" s="19" t="n"/>
      <c r="C42" s="19" t="n"/>
      <c r="D42" s="19" t="n"/>
      <c r="E42" s="19" t="n"/>
      <c r="F42" s="19" t="n"/>
    </row>
    <row r="43">
      <c r="A43" s="20" t="inlineStr">
        <is>
          <t>DB utan tilskot</t>
        </is>
      </c>
      <c r="B43" s="21" t="inlineStr">
        <is>
          <t>Utrekna</t>
        </is>
      </c>
      <c r="C43" s="38">
        <f>IF((C7)=0,0,(C26)/(C7))</f>
        <v/>
      </c>
      <c r="D43" s="12" t="inlineStr">
        <is>
          <t>kr</t>
        </is>
      </c>
      <c r="E43" s="23" t="inlineStr">
        <is>
          <t>DB utan tilskot = Dekningsbidrag (DB) utan tilskot [C26] ÷ Tal dekar [C7]</t>
        </is>
      </c>
      <c r="F43" s="24" t="inlineStr">
        <is>
          <t>=IF((C7)=0,0,(C26)/(C7))</t>
        </is>
      </c>
    </row>
    <row r="44">
      <c r="A44" s="20" t="inlineStr">
        <is>
          <t>Tilskot</t>
        </is>
      </c>
      <c r="B44" s="21" t="inlineStr">
        <is>
          <t>Utrekna</t>
        </is>
      </c>
      <c r="C44" s="38">
        <f>IF((C7)=0,0,(C11)/(C7))</f>
        <v/>
      </c>
      <c r="D44" s="12" t="inlineStr">
        <is>
          <t>kr</t>
        </is>
      </c>
      <c r="E44" s="23" t="inlineStr">
        <is>
          <t>Tilskot = Produksjonstilskot fordelt på produksjonen [C11] ÷ Tal dekar [C7]</t>
        </is>
      </c>
      <c r="F44" s="24" t="inlineStr">
        <is>
          <t>=IF((C7)=0,0,(C11)/(C7))</t>
        </is>
      </c>
    </row>
    <row r="45">
      <c r="A45" s="20" t="inlineStr">
        <is>
          <t>DB med tilskot</t>
        </is>
      </c>
      <c r="B45" s="21" t="inlineStr">
        <is>
          <t>Utrekna</t>
        </is>
      </c>
      <c r="C45" s="38">
        <f>IF((C7)=0,0,(C27)/(C7))</f>
        <v/>
      </c>
      <c r="D45" s="12" t="inlineStr">
        <is>
          <t>kr</t>
        </is>
      </c>
      <c r="E45" s="23" t="inlineStr">
        <is>
          <t>DB med tilskot = Dekningsbidrag (DB) med tilskot [C27] ÷ Tal dekar [C7]</t>
        </is>
      </c>
      <c r="F45" s="24" t="inlineStr">
        <is>
          <t>=IF((C7)=0,0,(C27)/(C7))</t>
        </is>
      </c>
    </row>
    <row r="46">
      <c r="A46" s="20" t="inlineStr">
        <is>
          <t>Maskinkostnader</t>
        </is>
      </c>
      <c r="B46" s="21" t="inlineStr">
        <is>
          <t>Utrekna</t>
        </is>
      </c>
      <c r="C46" s="38">
        <f>IF((C7)=0,0,(C22)/(C7))</f>
        <v/>
      </c>
      <c r="D46" s="12" t="inlineStr">
        <is>
          <t>kr</t>
        </is>
      </c>
      <c r="E46" s="23" t="inlineStr">
        <is>
          <t>Maskinkostnader = Maskinkostnader fordelt [C22] ÷ Tal dekar [C7]</t>
        </is>
      </c>
      <c r="F46" s="24" t="inlineStr">
        <is>
          <t>=IF((C7)=0,0,(C22)/(C7))</t>
        </is>
      </c>
    </row>
    <row r="47">
      <c r="A47" s="20" t="inlineStr">
        <is>
          <t>DB m/tilskot etter maskinkostnader</t>
        </is>
      </c>
      <c r="B47" s="21" t="inlineStr">
        <is>
          <t>Utrekna</t>
        </is>
      </c>
      <c r="C47" s="38">
        <f>IF((C7)=0,0,(C28)/(C7))</f>
        <v/>
      </c>
      <c r="D47" s="12" t="inlineStr">
        <is>
          <t>kr</t>
        </is>
      </c>
      <c r="E47" s="23" t="inlineStr">
        <is>
          <t>DB m/tilskot etter maskinkostnader = DB m/tilskot etter maskinkostnader [C28] ÷ Tal dekar [C7]</t>
        </is>
      </c>
      <c r="F47" s="24" t="inlineStr">
        <is>
          <t>=IF((C7)=0,0,(C28)/(C7))</t>
        </is>
      </c>
    </row>
    <row r="48">
      <c r="A48" s="18" t="inlineStr">
        <is>
          <t>6. OUTPUT – Nøkkeltal</t>
        </is>
      </c>
      <c r="B48" s="19" t="n"/>
      <c r="C48" s="19" t="n"/>
      <c r="D48" s="19" t="n"/>
      <c r="E48" s="19" t="n"/>
      <c r="F48" s="19" t="n"/>
    </row>
    <row r="49">
      <c r="A49" s="25" t="inlineStr">
        <is>
          <t>DB pr dekar u/tilskot</t>
        </is>
      </c>
      <c r="B49" s="26" t="inlineStr">
        <is>
          <t>Utrekna</t>
        </is>
      </c>
      <c r="C49" s="39">
        <f>IF((C7)=0,0,(C26)/(C7))</f>
        <v/>
      </c>
      <c r="D49" s="28" t="inlineStr">
        <is>
          <t>kr</t>
        </is>
      </c>
      <c r="E49" s="29" t="inlineStr">
        <is>
          <t>DB pr dekar u/tilskot = Dekningsbidrag (DB) utan tilskot [C26] ÷ Tal dekar [C7]</t>
        </is>
      </c>
      <c r="F49" s="30" t="inlineStr">
        <is>
          <t>=IF((C7)=0,0,(C26)/(C7))</t>
        </is>
      </c>
    </row>
    <row r="50">
      <c r="A50" s="25" t="inlineStr">
        <is>
          <t>DB pr dekar m/tilskot</t>
        </is>
      </c>
      <c r="B50" s="26" t="inlineStr">
        <is>
          <t>Utrekna</t>
        </is>
      </c>
      <c r="C50" s="39">
        <f>IF((C7)=0,0,(C27)/(C7))</f>
        <v/>
      </c>
      <c r="D50" s="28" t="inlineStr">
        <is>
          <t>kr</t>
        </is>
      </c>
      <c r="E50" s="29" t="inlineStr">
        <is>
          <t>DB pr dekar m/tilskot = Dekningsbidrag (DB) med tilskot [C27] ÷ Tal dekar [C7]</t>
        </is>
      </c>
      <c r="F50" s="30" t="inlineStr">
        <is>
          <t>=IF((C7)=0,0,(C27)/(C7))</t>
        </is>
      </c>
    </row>
    <row r="51">
      <c r="A51" s="25" t="inlineStr">
        <is>
          <t>Oppnådd pris pr kg</t>
        </is>
      </c>
      <c r="B51" s="26" t="inlineStr">
        <is>
          <t>Utrekna</t>
        </is>
      </c>
      <c r="C51" s="39">
        <f>IF((C9)=0,0,(C12)/(C9))</f>
        <v/>
      </c>
      <c r="D51" s="28" t="inlineStr">
        <is>
          <t>kr</t>
        </is>
      </c>
      <c r="E51" s="29" t="inlineStr">
        <is>
          <t>Oppnådd pris pr kg = Sal av korn [C12] ÷ Seld mengd [C9]</t>
        </is>
      </c>
      <c r="F51" s="30" t="inlineStr">
        <is>
          <t>=IF((C9)=0,0,(C12)/(C9))</t>
        </is>
      </c>
    </row>
    <row r="52">
      <c r="A52" s="25" t="inlineStr">
        <is>
          <t>Avling pr dekar (kg)</t>
        </is>
      </c>
      <c r="B52" s="26" t="inlineStr">
        <is>
          <t>Utrekna</t>
        </is>
      </c>
      <c r="C52" s="37">
        <f>IF((C7)=0,0,(C8)/(C7))</f>
        <v/>
      </c>
      <c r="D52" s="28" t="inlineStr">
        <is>
          <t>kg</t>
        </is>
      </c>
      <c r="E52" s="29" t="inlineStr">
        <is>
          <t>Avling pr dekar (kg) = Avling totalt [C8] ÷ Tal dekar [C7]</t>
        </is>
      </c>
      <c r="F52" s="30" t="inlineStr">
        <is>
          <t>=IF((C7)=0,0,(C8)/(C7))</t>
        </is>
      </c>
    </row>
    <row r="53">
      <c r="A53" s="25" t="inlineStr">
        <is>
          <t>Maskinkostnader pr dekar</t>
        </is>
      </c>
      <c r="B53" s="26" t="inlineStr">
        <is>
          <t>Utrekna</t>
        </is>
      </c>
      <c r="C53" s="39">
        <f>IF((C7)=0,0,(C22)/(C7))</f>
        <v/>
      </c>
      <c r="D53" s="28" t="inlineStr">
        <is>
          <t>kr</t>
        </is>
      </c>
      <c r="E53" s="29" t="inlineStr">
        <is>
          <t>Maskinkostnader pr dekar = Maskinkostnader fordelt [C22] ÷ Tal dekar [C7]</t>
        </is>
      </c>
      <c r="F53" s="30" t="inlineStr">
        <is>
          <t>=IF((C7)=0,0,(C22)/(C7))</t>
        </is>
      </c>
    </row>
    <row r="54">
      <c r="A54" s="25" t="inlineStr">
        <is>
          <t>DB etter maskinkostnader pr dekar</t>
        </is>
      </c>
      <c r="B54" s="26" t="inlineStr">
        <is>
          <t>Utrekna</t>
        </is>
      </c>
      <c r="C54" s="39">
        <f>IF((C7)=0,0,(C28)/(C7))</f>
        <v/>
      </c>
      <c r="D54" s="28" t="inlineStr">
        <is>
          <t>kr</t>
        </is>
      </c>
      <c r="E54" s="29" t="inlineStr">
        <is>
          <t>DB etter maskinkostnader pr dekar = DB m/tilskot etter maskinkostnader [C28] ÷ Tal dekar [C7]</t>
        </is>
      </c>
      <c r="F54" s="30" t="inlineStr">
        <is>
          <t>=IF((C7)=0,0,(C28)/(C7))</t>
        </is>
      </c>
    </row>
  </sheetData>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F56"/>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0" customWidth="1" min="1" max="1"/>
    <col width="34" customWidth="1" min="2" max="2"/>
    <col width="16" customWidth="1" min="3" max="3"/>
    <col width="10" customWidth="1" min="4" max="4"/>
    <col width="78" customWidth="1" min="5" max="5"/>
    <col width="46" customWidth="1" min="6" max="6"/>
  </cols>
  <sheetData>
    <row r="1" ht="22" customHeight="1">
      <c r="A1" s="1" t="inlineStr">
        <is>
          <t>Sal av silofôr / rundballar  –  driftsgrein 1522-1523</t>
        </is>
      </c>
    </row>
    <row r="2">
      <c r="A2" s="7" t="inlineStr">
        <is>
          <t>Areal der graset blir selt som silofôr/rundballar (driftsgrein 1522–1523). Eksempeltal frå vedlagt analyse 2025.</t>
        </is>
      </c>
    </row>
    <row r="3">
      <c r="A3" s="8" t="inlineStr">
        <is>
          <t>Fargekodar:  blå tal på gul botn = input (skal fyllast inn)   ·   svart = formel   ·   grøn = lenkje frå anna ark.   Alle kronebeløp er positive (inntekt og kostnad).</t>
        </is>
      </c>
    </row>
    <row r="5">
      <c r="A5" s="17" t="inlineStr">
        <is>
          <t>Post</t>
        </is>
      </c>
      <c r="B5" s="17" t="inlineStr">
        <is>
          <t>Kjelde / Tripletex-konto</t>
        </is>
      </c>
      <c r="C5" s="17" t="inlineStr">
        <is>
          <t>Verdi</t>
        </is>
      </c>
      <c r="D5" s="17" t="inlineStr">
        <is>
          <t>Eining</t>
        </is>
      </c>
      <c r="E5" s="17" t="inlineStr">
        <is>
          <t>Formel forklart (korleis outputen blir rekna)</t>
        </is>
      </c>
      <c r="F5" s="17" t="inlineStr">
        <is>
          <t>Excel-formel</t>
        </is>
      </c>
    </row>
    <row r="6">
      <c r="A6" s="18" t="inlineStr">
        <is>
          <t>1. INPUT – Produksjonsdata</t>
        </is>
      </c>
      <c r="B6" s="19" t="n"/>
      <c r="C6" s="19" t="n"/>
      <c r="D6" s="19" t="n"/>
      <c r="E6" s="19" t="n"/>
      <c r="F6" s="19" t="n"/>
    </row>
    <row r="7">
      <c r="A7" s="20" t="inlineStr">
        <is>
          <t>Tal dekar</t>
        </is>
      </c>
      <c r="B7" s="24" t="inlineStr">
        <is>
          <t>Produksjonstabell / søknad om produksjonstilskot</t>
        </is>
      </c>
      <c r="C7" s="31" t="n">
        <v>50</v>
      </c>
      <c r="D7" s="12" t="inlineStr">
        <is>
          <t>da</t>
        </is>
      </c>
      <c r="E7" s="24" t="inlineStr">
        <is>
          <t>Input. Hentast frå: Produksjonstabell / søknad om produksjonstilskot.</t>
        </is>
      </c>
      <c r="F7" s="32" t="n"/>
    </row>
    <row r="8">
      <c r="A8" s="20" t="inlineStr">
        <is>
          <t>Avling totalt</t>
        </is>
      </c>
      <c r="B8" s="24" t="inlineStr">
        <is>
          <t>Produksjonstabell / avlingsregistrering</t>
        </is>
      </c>
      <c r="C8" s="31" t="n">
        <v>0</v>
      </c>
      <c r="D8" s="12" t="inlineStr">
        <is>
          <t>kg</t>
        </is>
      </c>
      <c r="E8" s="24" t="inlineStr">
        <is>
          <t>Input. Hentast frå: Produksjonstabell / avlingsregistrering.</t>
        </is>
      </c>
      <c r="F8" s="32" t="n"/>
    </row>
    <row r="9">
      <c r="A9" s="20" t="inlineStr">
        <is>
          <t>Seld mengd</t>
        </is>
      </c>
      <c r="B9" s="24" t="inlineStr">
        <is>
          <t>Mengde 1/2 på salskonto (3095)</t>
        </is>
      </c>
      <c r="C9" s="31" t="n">
        <v>0</v>
      </c>
      <c r="D9" s="12" t="inlineStr">
        <is>
          <t>kg</t>
        </is>
      </c>
      <c r="E9" s="24" t="inlineStr">
        <is>
          <t>Input. Hentast frå: Mengde 1/2 på salskonto (3095).</t>
        </is>
      </c>
      <c r="F9" s="32" t="n"/>
    </row>
    <row r="10">
      <c r="A10" s="20" t="inlineStr">
        <is>
          <t>Tal siloballar seld</t>
        </is>
      </c>
      <c r="B10" s="24" t="inlineStr">
        <is>
          <t>Mengde 1 på konto 3095</t>
        </is>
      </c>
      <c r="C10" s="31" t="n">
        <v>253</v>
      </c>
      <c r="D10" s="12" t="inlineStr">
        <is>
          <t>stk</t>
        </is>
      </c>
      <c r="E10" s="24" t="inlineStr">
        <is>
          <t>Input. Hentast frå: Mengde 1 på konto 3095.</t>
        </is>
      </c>
      <c r="F10" s="32" t="n"/>
    </row>
    <row r="11">
      <c r="A11" s="20" t="inlineStr">
        <is>
          <t>Auke i varelager (kg)</t>
        </is>
      </c>
      <c r="B11" s="24" t="inlineStr">
        <is>
          <t>Mengde på konto 4297/1447 (.472)</t>
        </is>
      </c>
      <c r="C11" s="31" t="n">
        <v>0</v>
      </c>
      <c r="D11" s="12" t="inlineStr">
        <is>
          <t>kg</t>
        </is>
      </c>
      <c r="E11" s="24" t="inlineStr">
        <is>
          <t>Input. Hentast frå: Mengde på konto 4297/1447 (.472).</t>
        </is>
      </c>
      <c r="F11" s="32" t="n"/>
    </row>
    <row r="12">
      <c r="A12" s="18" t="inlineStr">
        <is>
          <t>2. INPUT – Rekneskapstal (kr) frå saldobalansen etter korrigeringar</t>
        </is>
      </c>
      <c r="B12" s="19" t="n"/>
      <c r="C12" s="19" t="n"/>
      <c r="D12" s="19" t="n"/>
      <c r="E12" s="19" t="n"/>
      <c r="F12" s="19" t="n"/>
    </row>
    <row r="13">
      <c r="A13" s="20" t="inlineStr">
        <is>
          <t>Produksjonstilskot fordelt på produksjonen</t>
        </is>
      </c>
      <c r="B13" s="24" t="inlineStr">
        <is>
          <t>34xx (ikkje 344x avløysartilskot)</t>
        </is>
      </c>
      <c r="C13" s="31" t="n">
        <v>28980.38</v>
      </c>
      <c r="D13" s="12" t="inlineStr">
        <is>
          <t>kr</t>
        </is>
      </c>
      <c r="E13" s="24" t="inlineStr">
        <is>
          <t>Input. Hentast frå: 34xx (ikkje 344x avløysartilskot).</t>
        </is>
      </c>
      <c r="F13" s="32" t="n"/>
    </row>
    <row r="14">
      <c r="A14" s="20" t="inlineStr">
        <is>
          <t>Sal av silofôr</t>
        </is>
      </c>
      <c r="B14" s="24" t="inlineStr">
        <is>
          <t>3095</t>
        </is>
      </c>
      <c r="C14" s="31" t="n">
        <v>206400</v>
      </c>
      <c r="D14" s="12" t="inlineStr">
        <is>
          <t>kr</t>
        </is>
      </c>
      <c r="E14" s="24" t="inlineStr">
        <is>
          <t>Input. Hentast frå: 3095.</t>
        </is>
      </c>
      <c r="F14" s="32" t="n"/>
    </row>
    <row r="15">
      <c r="A15" s="20" t="inlineStr">
        <is>
          <t>Beholdningsendring ferdigvarer (+ = auke)</t>
        </is>
      </c>
      <c r="B15" s="24" t="inlineStr">
        <is>
          <t>4290-4298 (forteikn snudd)</t>
        </is>
      </c>
      <c r="C15" s="31" t="n">
        <v>-15000</v>
      </c>
      <c r="D15" s="12" t="inlineStr">
        <is>
          <t>kr</t>
        </is>
      </c>
      <c r="E15" s="24" t="inlineStr">
        <is>
          <t>Input. Hentast frå: 4290-4298 (forteikn snudd).</t>
        </is>
      </c>
      <c r="F15" s="32" t="n"/>
    </row>
    <row r="16">
      <c r="A16" s="20" t="inlineStr">
        <is>
          <t>Andre inntekter</t>
        </is>
      </c>
      <c r="B16" s="24" t="inlineStr">
        <is>
          <t>andre 3xxx kopla til produksjonen</t>
        </is>
      </c>
      <c r="C16" s="31" t="n">
        <v>0</v>
      </c>
      <c r="D16" s="12" t="inlineStr">
        <is>
          <t>kr</t>
        </is>
      </c>
      <c r="E16" s="24" t="inlineStr">
        <is>
          <t>Input. Hentast frå: andre 3xxx kopla til produksjonen.</t>
        </is>
      </c>
      <c r="F16" s="32" t="n"/>
    </row>
    <row r="17">
      <c r="A17" s="18" t="inlineStr">
        <is>
          <t>Variable kostnader</t>
        </is>
      </c>
      <c r="B17" s="19" t="n"/>
      <c r="C17" s="19" t="n"/>
      <c r="D17" s="19" t="n"/>
      <c r="E17" s="19" t="n"/>
      <c r="F17" s="19" t="n"/>
    </row>
    <row r="18">
      <c r="A18" s="20" t="inlineStr">
        <is>
          <t>Gjødsel og kalk</t>
        </is>
      </c>
      <c r="B18" s="24" t="inlineStr">
        <is>
          <t>4050, 4057, 4095</t>
        </is>
      </c>
      <c r="C18" s="31" t="n">
        <v>21666.4</v>
      </c>
      <c r="D18" s="12" t="inlineStr">
        <is>
          <t>kr</t>
        </is>
      </c>
      <c r="E18" s="24" t="inlineStr">
        <is>
          <t>Input. Hentast frå: 4050, 4057, 4095.</t>
        </is>
      </c>
      <c r="F18" s="32" t="n"/>
    </row>
    <row r="19">
      <c r="A19" s="20" t="inlineStr">
        <is>
          <t>Plantevernmiddel</t>
        </is>
      </c>
      <c r="B19" s="24" t="inlineStr">
        <is>
          <t>4110, 4111, 4191</t>
        </is>
      </c>
      <c r="C19" s="31" t="n">
        <v>1223.77</v>
      </c>
      <c r="D19" s="12" t="inlineStr">
        <is>
          <t>kr</t>
        </is>
      </c>
      <c r="E19" s="24" t="inlineStr">
        <is>
          <t>Input. Hentast frå: 4110, 4111, 4191.</t>
        </is>
      </c>
      <c r="F19" s="32" t="n"/>
    </row>
    <row r="20">
      <c r="A20" s="20" t="inlineStr">
        <is>
          <t>Grasfrø</t>
        </is>
      </c>
      <c r="B20" s="24" t="inlineStr">
        <is>
          <t>4001</t>
        </is>
      </c>
      <c r="C20" s="31" t="n">
        <v>4021</v>
      </c>
      <c r="D20" s="12" t="inlineStr">
        <is>
          <t>kr</t>
        </is>
      </c>
      <c r="E20" s="24" t="inlineStr">
        <is>
          <t>Input. Hentast frå: 4001.</t>
        </is>
      </c>
      <c r="F20" s="32" t="n"/>
    </row>
    <row r="21">
      <c r="A21" s="20" t="inlineStr">
        <is>
          <t>Andre variable kostnader</t>
        </is>
      </c>
      <c r="B21" s="24" t="inlineStr">
        <is>
          <t>4540-4549, 4160 + andre 4xxx</t>
        </is>
      </c>
      <c r="C21" s="31" t="n">
        <v>15758.5</v>
      </c>
      <c r="D21" s="12" t="inlineStr">
        <is>
          <t>kr</t>
        </is>
      </c>
      <c r="E21" s="24" t="inlineStr">
        <is>
          <t>Input. Hentast frå: 4540-4549, 4160 + andre 4xxx.</t>
        </is>
      </c>
      <c r="F21" s="32" t="n"/>
    </row>
    <row r="22">
      <c r="A22" s="18" t="inlineStr">
        <is>
          <t>3. INPUT – Fordelte faste kostnader (lenka frå arket «Faste kostnader»)</t>
        </is>
      </c>
      <c r="B22" s="19" t="n"/>
      <c r="C22" s="19" t="n"/>
      <c r="D22" s="19" t="n"/>
      <c r="E22" s="19" t="n"/>
      <c r="F22" s="19" t="n"/>
    </row>
    <row r="23">
      <c r="A23" s="20" t="inlineStr">
        <is>
          <t>Maskinkostnader fordelt</t>
        </is>
      </c>
      <c r="B23" s="21" t="inlineStr">
        <is>
          <t>Lenkje frå anna ark</t>
        </is>
      </c>
      <c r="C23" s="13">
        <f>'Faste kostnader'!C38</f>
        <v/>
      </c>
      <c r="D23" s="12" t="inlineStr">
        <is>
          <t>kr</t>
        </is>
      </c>
      <c r="E23" s="23" t="inlineStr">
        <is>
          <t>Maskinkostnader fordelt = Maskinkostnader – Silofor [Faste kostnader!C38]</t>
        </is>
      </c>
      <c r="F23" s="24" t="inlineStr">
        <is>
          <t>='Faste kostnader'!C38</t>
        </is>
      </c>
    </row>
    <row r="24">
      <c r="A24" s="18" t="inlineStr">
        <is>
          <t>4. UTREKNING – Totalt for produksjonen</t>
        </is>
      </c>
      <c r="B24" s="19" t="n"/>
      <c r="C24" s="19" t="n"/>
      <c r="D24" s="19" t="n"/>
      <c r="E24" s="19" t="n"/>
      <c r="F24" s="19" t="n"/>
    </row>
    <row r="25">
      <c r="A25" s="20" t="inlineStr">
        <is>
          <t>Produksjonsinntekter i alt</t>
        </is>
      </c>
      <c r="B25" s="21" t="inlineStr">
        <is>
          <t>Utrekna</t>
        </is>
      </c>
      <c r="C25" s="22">
        <f>C14+C15+C16</f>
        <v/>
      </c>
      <c r="D25" s="12" t="inlineStr">
        <is>
          <t>kr</t>
        </is>
      </c>
      <c r="E25" s="23" t="inlineStr">
        <is>
          <t>Produksjonsinntekter i alt = Sal av silofôr [C14] + Beholdningsendring ferdigvarer (+ = auke) [C15] + Andre inntekter [C16]</t>
        </is>
      </c>
      <c r="F25" s="24" t="inlineStr">
        <is>
          <t>=C14+C15+C16</t>
        </is>
      </c>
    </row>
    <row r="26">
      <c r="A26" s="20" t="inlineStr">
        <is>
          <t>Variable kostnader i alt</t>
        </is>
      </c>
      <c r="B26" s="21" t="inlineStr">
        <is>
          <t>Utrekna</t>
        </is>
      </c>
      <c r="C26" s="22">
        <f>C18+C19+C20+C21</f>
        <v/>
      </c>
      <c r="D26" s="12" t="inlineStr">
        <is>
          <t>kr</t>
        </is>
      </c>
      <c r="E26" s="23" t="inlineStr">
        <is>
          <t>Variable kostnader i alt = Gjødsel og kalk [C18] + Plantevernmiddel [C19] + Grasfrø [C20] + Andre variable kostnader [C21]</t>
        </is>
      </c>
      <c r="F26" s="24" t="inlineStr">
        <is>
          <t>=C18+C19+C20+C21</t>
        </is>
      </c>
    </row>
    <row r="27">
      <c r="A27" s="25" t="inlineStr">
        <is>
          <t>Dekningsbidrag (DB) utan tilskot</t>
        </is>
      </c>
      <c r="B27" s="26" t="inlineStr">
        <is>
          <t>Utrekna</t>
        </is>
      </c>
      <c r="C27" s="27">
        <f>C25-C26</f>
        <v/>
      </c>
      <c r="D27" s="28" t="inlineStr">
        <is>
          <t>kr</t>
        </is>
      </c>
      <c r="E27" s="29" t="inlineStr">
        <is>
          <t>Dekningsbidrag (DB) utan tilskot = Produksjonsinntekter i alt [C25] − Variable kostnader i alt [C26]</t>
        </is>
      </c>
      <c r="F27" s="30" t="inlineStr">
        <is>
          <t>=C25-C26</t>
        </is>
      </c>
    </row>
    <row r="28">
      <c r="A28" s="25" t="inlineStr">
        <is>
          <t>Dekningsbidrag (DB) med tilskot</t>
        </is>
      </c>
      <c r="B28" s="26" t="inlineStr">
        <is>
          <t>Utrekna</t>
        </is>
      </c>
      <c r="C28" s="27">
        <f>C27+C13</f>
        <v/>
      </c>
      <c r="D28" s="28" t="inlineStr">
        <is>
          <t>kr</t>
        </is>
      </c>
      <c r="E28" s="29" t="inlineStr">
        <is>
          <t>Dekningsbidrag (DB) med tilskot = Dekningsbidrag (DB) utan tilskot [C27] + Produksjonstilskot fordelt på produksjonen [C13]</t>
        </is>
      </c>
      <c r="F28" s="30" t="inlineStr">
        <is>
          <t>=C27+C13</t>
        </is>
      </c>
    </row>
    <row r="29">
      <c r="A29" s="20" t="inlineStr">
        <is>
          <t>DB m/tilskot etter maskinkostnader</t>
        </is>
      </c>
      <c r="B29" s="21" t="inlineStr">
        <is>
          <t>Utrekna</t>
        </is>
      </c>
      <c r="C29" s="22">
        <f>C28-C23</f>
        <v/>
      </c>
      <c r="D29" s="12" t="inlineStr">
        <is>
          <t>kr</t>
        </is>
      </c>
      <c r="E29" s="23" t="inlineStr">
        <is>
          <t>DB m/tilskot etter maskinkostnader = Dekningsbidrag (DB) med tilskot [C28] − Maskinkostnader fordelt [C23]</t>
        </is>
      </c>
      <c r="F29" s="24" t="inlineStr">
        <is>
          <t>=C28-C23</t>
        </is>
      </c>
    </row>
    <row r="30">
      <c r="A30" s="18" t="inlineStr">
        <is>
          <t>5. OUTPUT – Per eining (pr dekar)</t>
        </is>
      </c>
      <c r="B30" s="19" t="n"/>
      <c r="C30" s="19" t="n"/>
      <c r="D30" s="19" t="n"/>
      <c r="E30" s="19" t="n"/>
      <c r="F30" s="19" t="n"/>
    </row>
    <row r="31">
      <c r="A31" s="18" t="inlineStr">
        <is>
          <t>Produksjonsinntekter pr dekar</t>
        </is>
      </c>
      <c r="B31" s="19" t="n"/>
      <c r="C31" s="19" t="n"/>
      <c r="D31" s="19" t="n"/>
      <c r="E31" s="19" t="n"/>
      <c r="F31" s="19" t="n"/>
    </row>
    <row r="32">
      <c r="A32" s="20" t="inlineStr">
        <is>
          <t>Sal av silofôr</t>
        </is>
      </c>
      <c r="B32" s="21" t="inlineStr">
        <is>
          <t>Utrekna</t>
        </is>
      </c>
      <c r="C32" s="38">
        <f>IF((C7)=0,0,(C14)/(C7))</f>
        <v/>
      </c>
      <c r="D32" s="12" t="inlineStr">
        <is>
          <t>kr</t>
        </is>
      </c>
      <c r="E32" s="23" t="inlineStr">
        <is>
          <t>Sal av silofôr = Sal av silofôr [C14] ÷ Tal dekar [C7]</t>
        </is>
      </c>
      <c r="F32" s="24" t="inlineStr">
        <is>
          <t>=IF((C7)=0,0,(C14)/(C7))</t>
        </is>
      </c>
    </row>
    <row r="33">
      <c r="A33" s="20" t="inlineStr">
        <is>
          <t>Beholdningsendring ferdigvarer (+ = auke)</t>
        </is>
      </c>
      <c r="B33" s="21" t="inlineStr">
        <is>
          <t>Utrekna</t>
        </is>
      </c>
      <c r="C33" s="38">
        <f>IF((C7)=0,0,(C15)/(C7))</f>
        <v/>
      </c>
      <c r="D33" s="12" t="inlineStr">
        <is>
          <t>kr</t>
        </is>
      </c>
      <c r="E33" s="23" t="inlineStr">
        <is>
          <t>Beholdningsendring ferdigvarer (+ = auke) = Beholdningsendring ferdigvarer (+ = auke) [C15] ÷ Tal dekar [C7]</t>
        </is>
      </c>
      <c r="F33" s="24" t="inlineStr">
        <is>
          <t>=IF((C7)=0,0,(C15)/(C7))</t>
        </is>
      </c>
    </row>
    <row r="34">
      <c r="A34" s="20" t="inlineStr">
        <is>
          <t>Andre inntekter</t>
        </is>
      </c>
      <c r="B34" s="21" t="inlineStr">
        <is>
          <t>Utrekna</t>
        </is>
      </c>
      <c r="C34" s="38">
        <f>IF((C7)=0,0,(C16)/(C7))</f>
        <v/>
      </c>
      <c r="D34" s="12" t="inlineStr">
        <is>
          <t>kr</t>
        </is>
      </c>
      <c r="E34" s="23" t="inlineStr">
        <is>
          <t>Andre inntekter = Andre inntekter [C16] ÷ Tal dekar [C7]</t>
        </is>
      </c>
      <c r="F34" s="24" t="inlineStr">
        <is>
          <t>=IF((C7)=0,0,(C16)/(C7))</t>
        </is>
      </c>
    </row>
    <row r="35">
      <c r="A35" s="20" t="inlineStr">
        <is>
          <t>Produksjonsinntekter i alt</t>
        </is>
      </c>
      <c r="B35" s="21" t="inlineStr">
        <is>
          <t>Utrekna</t>
        </is>
      </c>
      <c r="C35" s="38">
        <f>IF((C7)=0,0,(C25)/(C7))</f>
        <v/>
      </c>
      <c r="D35" s="12" t="inlineStr">
        <is>
          <t>kr</t>
        </is>
      </c>
      <c r="E35" s="23" t="inlineStr">
        <is>
          <t>Produksjonsinntekter i alt = Produksjonsinntekter i alt [C25] ÷ Tal dekar [C7]</t>
        </is>
      </c>
      <c r="F35" s="24" t="inlineStr">
        <is>
          <t>=IF((C7)=0,0,(C25)/(C7))</t>
        </is>
      </c>
    </row>
    <row r="36">
      <c r="A36" s="18" t="inlineStr">
        <is>
          <t>Variable kostnader pr dekar</t>
        </is>
      </c>
      <c r="B36" s="19" t="n"/>
      <c r="C36" s="19" t="n"/>
      <c r="D36" s="19" t="n"/>
      <c r="E36" s="19" t="n"/>
      <c r="F36" s="19" t="n"/>
    </row>
    <row r="37">
      <c r="A37" s="20" t="inlineStr">
        <is>
          <t>Gjødsel og kalk</t>
        </is>
      </c>
      <c r="B37" s="21" t="inlineStr">
        <is>
          <t>Utrekna</t>
        </is>
      </c>
      <c r="C37" s="38">
        <f>IF((C7)=0,0,(C18)/(C7))</f>
        <v/>
      </c>
      <c r="D37" s="12" t="inlineStr">
        <is>
          <t>kr</t>
        </is>
      </c>
      <c r="E37" s="23" t="inlineStr">
        <is>
          <t>Gjødsel og kalk = Gjødsel og kalk [C18] ÷ Tal dekar [C7]</t>
        </is>
      </c>
      <c r="F37" s="24" t="inlineStr">
        <is>
          <t>=IF((C7)=0,0,(C18)/(C7))</t>
        </is>
      </c>
    </row>
    <row r="38">
      <c r="A38" s="20" t="inlineStr">
        <is>
          <t>Plantevernmiddel</t>
        </is>
      </c>
      <c r="B38" s="21" t="inlineStr">
        <is>
          <t>Utrekna</t>
        </is>
      </c>
      <c r="C38" s="38">
        <f>IF((C7)=0,0,(C19)/(C7))</f>
        <v/>
      </c>
      <c r="D38" s="12" t="inlineStr">
        <is>
          <t>kr</t>
        </is>
      </c>
      <c r="E38" s="23" t="inlineStr">
        <is>
          <t>Plantevernmiddel = Plantevernmiddel [C19] ÷ Tal dekar [C7]</t>
        </is>
      </c>
      <c r="F38" s="24" t="inlineStr">
        <is>
          <t>=IF((C7)=0,0,(C19)/(C7))</t>
        </is>
      </c>
    </row>
    <row r="39">
      <c r="A39" s="20" t="inlineStr">
        <is>
          <t>Grasfrø</t>
        </is>
      </c>
      <c r="B39" s="21" t="inlineStr">
        <is>
          <t>Utrekna</t>
        </is>
      </c>
      <c r="C39" s="38">
        <f>IF((C7)=0,0,(C20)/(C7))</f>
        <v/>
      </c>
      <c r="D39" s="12" t="inlineStr">
        <is>
          <t>kr</t>
        </is>
      </c>
      <c r="E39" s="23" t="inlineStr">
        <is>
          <t>Grasfrø = Grasfrø [C20] ÷ Tal dekar [C7]</t>
        </is>
      </c>
      <c r="F39" s="24" t="inlineStr">
        <is>
          <t>=IF((C7)=0,0,(C20)/(C7))</t>
        </is>
      </c>
    </row>
    <row r="40">
      <c r="A40" s="20" t="inlineStr">
        <is>
          <t>Andre variable kostnader</t>
        </is>
      </c>
      <c r="B40" s="21" t="inlineStr">
        <is>
          <t>Utrekna</t>
        </is>
      </c>
      <c r="C40" s="38">
        <f>IF((C7)=0,0,(C21)/(C7))</f>
        <v/>
      </c>
      <c r="D40" s="12" t="inlineStr">
        <is>
          <t>kr</t>
        </is>
      </c>
      <c r="E40" s="23" t="inlineStr">
        <is>
          <t>Andre variable kostnader = Andre variable kostnader [C21] ÷ Tal dekar [C7]</t>
        </is>
      </c>
      <c r="F40" s="24" t="inlineStr">
        <is>
          <t>=IF((C7)=0,0,(C21)/(C7))</t>
        </is>
      </c>
    </row>
    <row r="41">
      <c r="A41" s="20" t="inlineStr">
        <is>
          <t>Sum variable kostnader</t>
        </is>
      </c>
      <c r="B41" s="21" t="inlineStr">
        <is>
          <t>Utrekna</t>
        </is>
      </c>
      <c r="C41" s="38">
        <f>IF((C7)=0,0,(C26)/(C7))</f>
        <v/>
      </c>
      <c r="D41" s="12" t="inlineStr">
        <is>
          <t>kr</t>
        </is>
      </c>
      <c r="E41" s="23" t="inlineStr">
        <is>
          <t>Sum variable kostnader = Variable kostnader i alt [C26] ÷ Tal dekar [C7]</t>
        </is>
      </c>
      <c r="F41" s="24" t="inlineStr">
        <is>
          <t>=IF((C7)=0,0,(C26)/(C7))</t>
        </is>
      </c>
    </row>
    <row r="42">
      <c r="A42" s="18" t="inlineStr">
        <is>
          <t>Resultat pr dekar</t>
        </is>
      </c>
      <c r="B42" s="19" t="n"/>
      <c r="C42" s="19" t="n"/>
      <c r="D42" s="19" t="n"/>
      <c r="E42" s="19" t="n"/>
      <c r="F42" s="19" t="n"/>
    </row>
    <row r="43">
      <c r="A43" s="20" t="inlineStr">
        <is>
          <t>DB utan tilskot</t>
        </is>
      </c>
      <c r="B43" s="21" t="inlineStr">
        <is>
          <t>Utrekna</t>
        </is>
      </c>
      <c r="C43" s="38">
        <f>IF((C7)=0,0,(C27)/(C7))</f>
        <v/>
      </c>
      <c r="D43" s="12" t="inlineStr">
        <is>
          <t>kr</t>
        </is>
      </c>
      <c r="E43" s="23" t="inlineStr">
        <is>
          <t>DB utan tilskot = Dekningsbidrag (DB) utan tilskot [C27] ÷ Tal dekar [C7]</t>
        </is>
      </c>
      <c r="F43" s="24" t="inlineStr">
        <is>
          <t>=IF((C7)=0,0,(C27)/(C7))</t>
        </is>
      </c>
    </row>
    <row r="44">
      <c r="A44" s="20" t="inlineStr">
        <is>
          <t>Tilskot</t>
        </is>
      </c>
      <c r="B44" s="21" t="inlineStr">
        <is>
          <t>Utrekna</t>
        </is>
      </c>
      <c r="C44" s="38">
        <f>IF((C7)=0,0,(C13)/(C7))</f>
        <v/>
      </c>
      <c r="D44" s="12" t="inlineStr">
        <is>
          <t>kr</t>
        </is>
      </c>
      <c r="E44" s="23" t="inlineStr">
        <is>
          <t>Tilskot = Produksjonstilskot fordelt på produksjonen [C13] ÷ Tal dekar [C7]</t>
        </is>
      </c>
      <c r="F44" s="24" t="inlineStr">
        <is>
          <t>=IF((C7)=0,0,(C13)/(C7))</t>
        </is>
      </c>
    </row>
    <row r="45">
      <c r="A45" s="20" t="inlineStr">
        <is>
          <t>DB med tilskot</t>
        </is>
      </c>
      <c r="B45" s="21" t="inlineStr">
        <is>
          <t>Utrekna</t>
        </is>
      </c>
      <c r="C45" s="38">
        <f>IF((C7)=0,0,(C28)/(C7))</f>
        <v/>
      </c>
      <c r="D45" s="12" t="inlineStr">
        <is>
          <t>kr</t>
        </is>
      </c>
      <c r="E45" s="23" t="inlineStr">
        <is>
          <t>DB med tilskot = Dekningsbidrag (DB) med tilskot [C28] ÷ Tal dekar [C7]</t>
        </is>
      </c>
      <c r="F45" s="24" t="inlineStr">
        <is>
          <t>=IF((C7)=0,0,(C28)/(C7))</t>
        </is>
      </c>
    </row>
    <row r="46">
      <c r="A46" s="20" t="inlineStr">
        <is>
          <t>Maskinkostnader</t>
        </is>
      </c>
      <c r="B46" s="21" t="inlineStr">
        <is>
          <t>Utrekna</t>
        </is>
      </c>
      <c r="C46" s="38">
        <f>IF((C7)=0,0,(C23)/(C7))</f>
        <v/>
      </c>
      <c r="D46" s="12" t="inlineStr">
        <is>
          <t>kr</t>
        </is>
      </c>
      <c r="E46" s="23" t="inlineStr">
        <is>
          <t>Maskinkostnader = Maskinkostnader fordelt [C23] ÷ Tal dekar [C7]</t>
        </is>
      </c>
      <c r="F46" s="24" t="inlineStr">
        <is>
          <t>=IF((C7)=0,0,(C23)/(C7))</t>
        </is>
      </c>
    </row>
    <row r="47">
      <c r="A47" s="20" t="inlineStr">
        <is>
          <t>DB m/tilskot etter maskinkostnader</t>
        </is>
      </c>
      <c r="B47" s="21" t="inlineStr">
        <is>
          <t>Utrekna</t>
        </is>
      </c>
      <c r="C47" s="38">
        <f>IF((C7)=0,0,(C29)/(C7))</f>
        <v/>
      </c>
      <c r="D47" s="12" t="inlineStr">
        <is>
          <t>kr</t>
        </is>
      </c>
      <c r="E47" s="23" t="inlineStr">
        <is>
          <t>DB m/tilskot etter maskinkostnader = DB m/tilskot etter maskinkostnader [C29] ÷ Tal dekar [C7]</t>
        </is>
      </c>
      <c r="F47" s="24" t="inlineStr">
        <is>
          <t>=IF((C7)=0,0,(C29)/(C7))</t>
        </is>
      </c>
    </row>
    <row r="48">
      <c r="A48" s="18" t="inlineStr">
        <is>
          <t>6. OUTPUT – Nøkkeltal</t>
        </is>
      </c>
      <c r="B48" s="19" t="n"/>
      <c r="C48" s="19" t="n"/>
      <c r="D48" s="19" t="n"/>
      <c r="E48" s="19" t="n"/>
      <c r="F48" s="19" t="n"/>
    </row>
    <row r="49">
      <c r="A49" s="25" t="inlineStr">
        <is>
          <t>DB pr dekar u/tilskot</t>
        </is>
      </c>
      <c r="B49" s="26" t="inlineStr">
        <is>
          <t>Utrekna</t>
        </is>
      </c>
      <c r="C49" s="39">
        <f>IF((C7)=0,0,(C27)/(C7))</f>
        <v/>
      </c>
      <c r="D49" s="28" t="inlineStr">
        <is>
          <t>kr</t>
        </is>
      </c>
      <c r="E49" s="29" t="inlineStr">
        <is>
          <t>DB pr dekar u/tilskot = Dekningsbidrag (DB) utan tilskot [C27] ÷ Tal dekar [C7]</t>
        </is>
      </c>
      <c r="F49" s="30" t="inlineStr">
        <is>
          <t>=IF((C7)=0,0,(C27)/(C7))</t>
        </is>
      </c>
    </row>
    <row r="50">
      <c r="A50" s="25" t="inlineStr">
        <is>
          <t>DB pr dekar m/tilskot</t>
        </is>
      </c>
      <c r="B50" s="26" t="inlineStr">
        <is>
          <t>Utrekna</t>
        </is>
      </c>
      <c r="C50" s="39">
        <f>IF((C7)=0,0,(C28)/(C7))</f>
        <v/>
      </c>
      <c r="D50" s="28" t="inlineStr">
        <is>
          <t>kr</t>
        </is>
      </c>
      <c r="E50" s="29" t="inlineStr">
        <is>
          <t>DB pr dekar m/tilskot = Dekningsbidrag (DB) med tilskot [C28] ÷ Tal dekar [C7]</t>
        </is>
      </c>
      <c r="F50" s="30" t="inlineStr">
        <is>
          <t>=IF((C7)=0,0,(C28)/(C7))</t>
        </is>
      </c>
    </row>
    <row r="51">
      <c r="A51" s="25" t="inlineStr">
        <is>
          <t>Oppnådd pris pr kg</t>
        </is>
      </c>
      <c r="B51" s="26" t="inlineStr">
        <is>
          <t>Utrekna</t>
        </is>
      </c>
      <c r="C51" s="39">
        <f>IF((C9)=0,0,(C14)/(C9))</f>
        <v/>
      </c>
      <c r="D51" s="28" t="inlineStr">
        <is>
          <t>kr</t>
        </is>
      </c>
      <c r="E51" s="29" t="inlineStr">
        <is>
          <t>Oppnådd pris pr kg = Sal av silofôr [C14] ÷ Seld mengd [C9]</t>
        </is>
      </c>
      <c r="F51" s="30" t="inlineStr">
        <is>
          <t>=IF((C9)=0,0,(C14)/(C9))</t>
        </is>
      </c>
    </row>
    <row r="52">
      <c r="A52" s="25" t="inlineStr">
        <is>
          <t>Avling pr dekar (kg)</t>
        </is>
      </c>
      <c r="B52" s="26" t="inlineStr">
        <is>
          <t>Utrekna</t>
        </is>
      </c>
      <c r="C52" s="37">
        <f>IF((C7)=0,0,(C8)/(C7))</f>
        <v/>
      </c>
      <c r="D52" s="28" t="inlineStr">
        <is>
          <t>kg</t>
        </is>
      </c>
      <c r="E52" s="29" t="inlineStr">
        <is>
          <t>Avling pr dekar (kg) = Avling totalt [C8] ÷ Tal dekar [C7]</t>
        </is>
      </c>
      <c r="F52" s="30" t="inlineStr">
        <is>
          <t>=IF((C7)=0,0,(C8)/(C7))</t>
        </is>
      </c>
    </row>
    <row r="53">
      <c r="A53" s="25" t="inlineStr">
        <is>
          <t>Maskinkostnader pr dekar</t>
        </is>
      </c>
      <c r="B53" s="26" t="inlineStr">
        <is>
          <t>Utrekna</t>
        </is>
      </c>
      <c r="C53" s="39">
        <f>IF((C7)=0,0,(C23)/(C7))</f>
        <v/>
      </c>
      <c r="D53" s="28" t="inlineStr">
        <is>
          <t>kr</t>
        </is>
      </c>
      <c r="E53" s="29" t="inlineStr">
        <is>
          <t>Maskinkostnader pr dekar = Maskinkostnader fordelt [C23] ÷ Tal dekar [C7]</t>
        </is>
      </c>
      <c r="F53" s="30" t="inlineStr">
        <is>
          <t>=IF((C7)=0,0,(C23)/(C7))</t>
        </is>
      </c>
    </row>
    <row r="54">
      <c r="A54" s="25" t="inlineStr">
        <is>
          <t>DB etter maskinkostnader pr dekar</t>
        </is>
      </c>
      <c r="B54" s="26" t="inlineStr">
        <is>
          <t>Utrekna</t>
        </is>
      </c>
      <c r="C54" s="39">
        <f>IF((C7)=0,0,(C29)/(C7))</f>
        <v/>
      </c>
      <c r="D54" s="28" t="inlineStr">
        <is>
          <t>kr</t>
        </is>
      </c>
      <c r="E54" s="29" t="inlineStr">
        <is>
          <t>DB etter maskinkostnader pr dekar = DB m/tilskot etter maskinkostnader [C29] ÷ Tal dekar [C7]</t>
        </is>
      </c>
      <c r="F54" s="30" t="inlineStr">
        <is>
          <t>=IF((C7)=0,0,(C29)/(C7))</t>
        </is>
      </c>
    </row>
    <row r="55">
      <c r="A55" s="25" t="inlineStr">
        <is>
          <t>Oppnådd pris pr siloballe</t>
        </is>
      </c>
      <c r="B55" s="26" t="inlineStr">
        <is>
          <t>Utrekna</t>
        </is>
      </c>
      <c r="C55" s="39">
        <f>IF((C10)=0,0,(C14)/(C10))</f>
        <v/>
      </c>
      <c r="D55" s="28" t="inlineStr">
        <is>
          <t>kr</t>
        </is>
      </c>
      <c r="E55" s="29" t="inlineStr">
        <is>
          <t>Oppnådd pris pr siloballe = Sal av silofôr [C14] ÷ Tal siloballar seld [C10]</t>
        </is>
      </c>
      <c r="F55" s="30" t="inlineStr">
        <is>
          <t>=IF((C10)=0,0,(C14)/(C10))</t>
        </is>
      </c>
    </row>
    <row r="56">
      <c r="A56" s="25" t="inlineStr">
        <is>
          <t>Tal siloballar pr dekar</t>
        </is>
      </c>
      <c r="B56" s="26" t="inlineStr">
        <is>
          <t>Utrekna</t>
        </is>
      </c>
      <c r="C56" s="39">
        <f>IF((C7)=0,0,(C10+C11/750)/(C7))</f>
        <v/>
      </c>
      <c r="D56" s="28" t="inlineStr">
        <is>
          <t>stk</t>
        </is>
      </c>
      <c r="E56" s="29" t="inlineStr">
        <is>
          <t>Tal siloballar pr dekar = (Tal siloballar seld [C10] + Auke i varelager (kg) [C11] / 750) ÷ Tal dekar [C7]   (Lagerauke i kg er rekna om til ballar med 750 kg pr balle)</t>
        </is>
      </c>
      <c r="F56" s="30" t="inlineStr">
        <is>
          <t>=IF((C7)=0,0,(C10+C11/750)/(C7))</t>
        </is>
      </c>
    </row>
  </sheetData>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F52"/>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0" customWidth="1" min="1" max="1"/>
    <col width="34" customWidth="1" min="2" max="2"/>
    <col width="16" customWidth="1" min="3" max="3"/>
    <col width="10" customWidth="1" min="4" max="4"/>
    <col width="78" customWidth="1" min="5" max="5"/>
    <col width="46" customWidth="1" min="6" max="6"/>
  </cols>
  <sheetData>
    <row r="1" ht="22" customHeight="1">
      <c r="A1" s="1" t="inlineStr">
        <is>
          <t>Sal av høy  –  driftsgrein 1510-1513</t>
        </is>
      </c>
    </row>
    <row r="2">
      <c r="A2" s="7" t="inlineStr">
        <is>
          <t>Areal der graset blir selt som høy (driftsgrein 1510–1513).</t>
        </is>
      </c>
    </row>
    <row r="3">
      <c r="A3" s="8" t="inlineStr">
        <is>
          <t>Fargekodar:  blå tal på gul botn = input (skal fyllast inn)   ·   svart = formel   ·   grøn = lenkje frå anna ark.   Alle kronebeløp er positive (inntekt og kostnad).</t>
        </is>
      </c>
    </row>
    <row r="5">
      <c r="A5" s="17" t="inlineStr">
        <is>
          <t>Post</t>
        </is>
      </c>
      <c r="B5" s="17" t="inlineStr">
        <is>
          <t>Kjelde / Tripletex-konto</t>
        </is>
      </c>
      <c r="C5" s="17" t="inlineStr">
        <is>
          <t>Verdi</t>
        </is>
      </c>
      <c r="D5" s="17" t="inlineStr">
        <is>
          <t>Eining</t>
        </is>
      </c>
      <c r="E5" s="17" t="inlineStr">
        <is>
          <t>Formel forklart (korleis outputen blir rekna)</t>
        </is>
      </c>
      <c r="F5" s="17" t="inlineStr">
        <is>
          <t>Excel-formel</t>
        </is>
      </c>
    </row>
    <row r="6">
      <c r="A6" s="18" t="inlineStr">
        <is>
          <t>1. INPUT – Produksjonsdata</t>
        </is>
      </c>
      <c r="B6" s="19" t="n"/>
      <c r="C6" s="19" t="n"/>
      <c r="D6" s="19" t="n"/>
      <c r="E6" s="19" t="n"/>
      <c r="F6" s="19" t="n"/>
    </row>
    <row r="7">
      <c r="A7" s="20" t="inlineStr">
        <is>
          <t>Tal dekar</t>
        </is>
      </c>
      <c r="B7" s="24" t="inlineStr">
        <is>
          <t>Produksjonstabell / søknad om produksjonstilskot</t>
        </is>
      </c>
      <c r="C7" s="31" t="n">
        <v>20</v>
      </c>
      <c r="D7" s="12" t="inlineStr">
        <is>
          <t>da</t>
        </is>
      </c>
      <c r="E7" s="24" t="inlineStr">
        <is>
          <t>Input. Hentast frå: Produksjonstabell / søknad om produksjonstilskot.</t>
        </is>
      </c>
      <c r="F7" s="32" t="n"/>
    </row>
    <row r="8">
      <c r="A8" s="20" t="inlineStr">
        <is>
          <t>Avling totalt</t>
        </is>
      </c>
      <c r="B8" s="24" t="inlineStr">
        <is>
          <t>Produksjonstabell / avlingsregistrering</t>
        </is>
      </c>
      <c r="C8" s="31" t="n">
        <v>12000</v>
      </c>
      <c r="D8" s="12" t="inlineStr">
        <is>
          <t>kg</t>
        </is>
      </c>
      <c r="E8" s="24" t="inlineStr">
        <is>
          <t>Input. Hentast frå: Produksjonstabell / avlingsregistrering.</t>
        </is>
      </c>
      <c r="F8" s="32" t="n"/>
    </row>
    <row r="9">
      <c r="A9" s="20" t="inlineStr">
        <is>
          <t>Seld mengd</t>
        </is>
      </c>
      <c r="B9" s="24" t="inlineStr">
        <is>
          <t>Mengde 1/2 på salskonto (3094)</t>
        </is>
      </c>
      <c r="C9" s="31" t="n">
        <v>10000</v>
      </c>
      <c r="D9" s="12" t="inlineStr">
        <is>
          <t>kg</t>
        </is>
      </c>
      <c r="E9" s="24" t="inlineStr">
        <is>
          <t>Input. Hentast frå: Mengde 1/2 på salskonto (3094).</t>
        </is>
      </c>
      <c r="F9" s="32" t="n"/>
    </row>
    <row r="10">
      <c r="A10" s="18" t="inlineStr">
        <is>
          <t>2. INPUT – Rekneskapstal (kr) frå saldobalansen etter korrigeringar</t>
        </is>
      </c>
      <c r="B10" s="19" t="n"/>
      <c r="C10" s="19" t="n"/>
      <c r="D10" s="19" t="n"/>
      <c r="E10" s="19" t="n"/>
      <c r="F10" s="19" t="n"/>
    </row>
    <row r="11">
      <c r="A11" s="20" t="inlineStr">
        <is>
          <t>Produksjonstilskot fordelt på produksjonen</t>
        </is>
      </c>
      <c r="B11" s="24" t="inlineStr">
        <is>
          <t>34xx (ikkje 344x avløysartilskot)</t>
        </is>
      </c>
      <c r="C11" s="31" t="n">
        <v>8000</v>
      </c>
      <c r="D11" s="12" t="inlineStr">
        <is>
          <t>kr</t>
        </is>
      </c>
      <c r="E11" s="24" t="inlineStr">
        <is>
          <t>Input. Hentast frå: 34xx (ikkje 344x avløysartilskot).</t>
        </is>
      </c>
      <c r="F11" s="32" t="n"/>
    </row>
    <row r="12">
      <c r="A12" s="20" t="inlineStr">
        <is>
          <t>Sal av høy</t>
        </is>
      </c>
      <c r="B12" s="24" t="inlineStr">
        <is>
          <t>3094</t>
        </is>
      </c>
      <c r="C12" s="31" t="n">
        <v>30000</v>
      </c>
      <c r="D12" s="12" t="inlineStr">
        <is>
          <t>kr</t>
        </is>
      </c>
      <c r="E12" s="24" t="inlineStr">
        <is>
          <t>Input. Hentast frå: 3094.</t>
        </is>
      </c>
      <c r="F12" s="32" t="n"/>
    </row>
    <row r="13">
      <c r="A13" s="20" t="inlineStr">
        <is>
          <t>Beholdningsendring ferdigvarer (+ = auke)</t>
        </is>
      </c>
      <c r="B13" s="24" t="inlineStr">
        <is>
          <t>4290-4298 (forteikn snudd)</t>
        </is>
      </c>
      <c r="C13" s="31" t="n">
        <v>2000</v>
      </c>
      <c r="D13" s="12" t="inlineStr">
        <is>
          <t>kr</t>
        </is>
      </c>
      <c r="E13" s="24" t="inlineStr">
        <is>
          <t>Input. Hentast frå: 4290-4298 (forteikn snudd).</t>
        </is>
      </c>
      <c r="F13" s="32" t="n"/>
    </row>
    <row r="14">
      <c r="A14" s="20" t="inlineStr">
        <is>
          <t>Andre inntekter</t>
        </is>
      </c>
      <c r="B14" s="24" t="inlineStr">
        <is>
          <t>andre 3xxx kopla til produksjonen</t>
        </is>
      </c>
      <c r="C14" s="31" t="n">
        <v>0</v>
      </c>
      <c r="D14" s="12" t="inlineStr">
        <is>
          <t>kr</t>
        </is>
      </c>
      <c r="E14" s="24" t="inlineStr">
        <is>
          <t>Input. Hentast frå: andre 3xxx kopla til produksjonen.</t>
        </is>
      </c>
      <c r="F14" s="32" t="n"/>
    </row>
    <row r="15">
      <c r="A15" s="18" t="inlineStr">
        <is>
          <t>Variable kostnader</t>
        </is>
      </c>
      <c r="B15" s="19" t="n"/>
      <c r="C15" s="19" t="n"/>
      <c r="D15" s="19" t="n"/>
      <c r="E15" s="19" t="n"/>
      <c r="F15" s="19" t="n"/>
    </row>
    <row r="16">
      <c r="A16" s="20" t="inlineStr">
        <is>
          <t>Gjødsel og kalk</t>
        </is>
      </c>
      <c r="B16" s="24" t="inlineStr">
        <is>
          <t>4050, 4057, 4095</t>
        </is>
      </c>
      <c r="C16" s="31" t="n">
        <v>8000</v>
      </c>
      <c r="D16" s="12" t="inlineStr">
        <is>
          <t>kr</t>
        </is>
      </c>
      <c r="E16" s="24" t="inlineStr">
        <is>
          <t>Input. Hentast frå: 4050, 4057, 4095.</t>
        </is>
      </c>
      <c r="F16" s="32" t="n"/>
    </row>
    <row r="17">
      <c r="A17" s="20" t="inlineStr">
        <is>
          <t>Plantevernmiddel</t>
        </is>
      </c>
      <c r="B17" s="24" t="inlineStr">
        <is>
          <t>4110, 4111, 4191</t>
        </is>
      </c>
      <c r="C17" s="31" t="n">
        <v>0</v>
      </c>
      <c r="D17" s="12" t="inlineStr">
        <is>
          <t>kr</t>
        </is>
      </c>
      <c r="E17" s="24" t="inlineStr">
        <is>
          <t>Input. Hentast frå: 4110, 4111, 4191.</t>
        </is>
      </c>
      <c r="F17" s="32" t="n"/>
    </row>
    <row r="18">
      <c r="A18" s="20" t="inlineStr">
        <is>
          <t>Grasfrø</t>
        </is>
      </c>
      <c r="B18" s="24" t="inlineStr">
        <is>
          <t>4001</t>
        </is>
      </c>
      <c r="C18" s="31" t="n">
        <v>1000</v>
      </c>
      <c r="D18" s="12" t="inlineStr">
        <is>
          <t>kr</t>
        </is>
      </c>
      <c r="E18" s="24" t="inlineStr">
        <is>
          <t>Input. Hentast frå: 4001.</t>
        </is>
      </c>
      <c r="F18" s="32" t="n"/>
    </row>
    <row r="19">
      <c r="A19" s="20" t="inlineStr">
        <is>
          <t>Andre variable kostnader</t>
        </is>
      </c>
      <c r="B19" s="24" t="inlineStr">
        <is>
          <t>4540-4549, 4160 + andre 4xxx</t>
        </is>
      </c>
      <c r="C19" s="31" t="n">
        <v>3000</v>
      </c>
      <c r="D19" s="12" t="inlineStr">
        <is>
          <t>kr</t>
        </is>
      </c>
      <c r="E19" s="24" t="inlineStr">
        <is>
          <t>Input. Hentast frå: 4540-4549, 4160 + andre 4xxx.</t>
        </is>
      </c>
      <c r="F19" s="32" t="n"/>
    </row>
    <row r="20">
      <c r="A20" s="18" t="inlineStr">
        <is>
          <t>3. INPUT – Fordelte faste kostnader (lenka frå arket «Faste kostnader»)</t>
        </is>
      </c>
      <c r="B20" s="19" t="n"/>
      <c r="C20" s="19" t="n"/>
      <c r="D20" s="19" t="n"/>
      <c r="E20" s="19" t="n"/>
      <c r="F20" s="19" t="n"/>
    </row>
    <row r="21">
      <c r="A21" s="20" t="inlineStr">
        <is>
          <t>Maskinkostnader fordelt</t>
        </is>
      </c>
      <c r="B21" s="21" t="inlineStr">
        <is>
          <t>Lenkje frå anna ark</t>
        </is>
      </c>
      <c r="C21" s="13">
        <f>'Faste kostnader'!C39</f>
        <v/>
      </c>
      <c r="D21" s="12" t="inlineStr">
        <is>
          <t>kr</t>
        </is>
      </c>
      <c r="E21" s="23" t="inlineStr">
        <is>
          <t>Maskinkostnader fordelt = Maskinkostnader – Høy [Faste kostnader!C39]</t>
        </is>
      </c>
      <c r="F21" s="24" t="inlineStr">
        <is>
          <t>='Faste kostnader'!C39</t>
        </is>
      </c>
    </row>
    <row r="22">
      <c r="A22" s="18" t="inlineStr">
        <is>
          <t>4. UTREKNING – Totalt for produksjonen</t>
        </is>
      </c>
      <c r="B22" s="19" t="n"/>
      <c r="C22" s="19" t="n"/>
      <c r="D22" s="19" t="n"/>
      <c r="E22" s="19" t="n"/>
      <c r="F22" s="19" t="n"/>
    </row>
    <row r="23">
      <c r="A23" s="20" t="inlineStr">
        <is>
          <t>Produksjonsinntekter i alt</t>
        </is>
      </c>
      <c r="B23" s="21" t="inlineStr">
        <is>
          <t>Utrekna</t>
        </is>
      </c>
      <c r="C23" s="22">
        <f>C12+C13+C14</f>
        <v/>
      </c>
      <c r="D23" s="12" t="inlineStr">
        <is>
          <t>kr</t>
        </is>
      </c>
      <c r="E23" s="23" t="inlineStr">
        <is>
          <t>Produksjonsinntekter i alt = Sal av høy [C12] + Beholdningsendring ferdigvarer (+ = auke) [C13] + Andre inntekter [C14]</t>
        </is>
      </c>
      <c r="F23" s="24" t="inlineStr">
        <is>
          <t>=C12+C13+C14</t>
        </is>
      </c>
    </row>
    <row r="24">
      <c r="A24" s="20" t="inlineStr">
        <is>
          <t>Variable kostnader i alt</t>
        </is>
      </c>
      <c r="B24" s="21" t="inlineStr">
        <is>
          <t>Utrekna</t>
        </is>
      </c>
      <c r="C24" s="22">
        <f>C16+C17+C18+C19</f>
        <v/>
      </c>
      <c r="D24" s="12" t="inlineStr">
        <is>
          <t>kr</t>
        </is>
      </c>
      <c r="E24" s="23" t="inlineStr">
        <is>
          <t>Variable kostnader i alt = Gjødsel og kalk [C16] + Plantevernmiddel [C17] + Grasfrø [C18] + Andre variable kostnader [C19]</t>
        </is>
      </c>
      <c r="F24" s="24" t="inlineStr">
        <is>
          <t>=C16+C17+C18+C19</t>
        </is>
      </c>
    </row>
    <row r="25">
      <c r="A25" s="25" t="inlineStr">
        <is>
          <t>Dekningsbidrag (DB) utan tilskot</t>
        </is>
      </c>
      <c r="B25" s="26" t="inlineStr">
        <is>
          <t>Utrekna</t>
        </is>
      </c>
      <c r="C25" s="27">
        <f>C23-C24</f>
        <v/>
      </c>
      <c r="D25" s="28" t="inlineStr">
        <is>
          <t>kr</t>
        </is>
      </c>
      <c r="E25" s="29" t="inlineStr">
        <is>
          <t>Dekningsbidrag (DB) utan tilskot = Produksjonsinntekter i alt [C23] − Variable kostnader i alt [C24]</t>
        </is>
      </c>
      <c r="F25" s="30" t="inlineStr">
        <is>
          <t>=C23-C24</t>
        </is>
      </c>
    </row>
    <row r="26">
      <c r="A26" s="25" t="inlineStr">
        <is>
          <t>Dekningsbidrag (DB) med tilskot</t>
        </is>
      </c>
      <c r="B26" s="26" t="inlineStr">
        <is>
          <t>Utrekna</t>
        </is>
      </c>
      <c r="C26" s="27">
        <f>C25+C11</f>
        <v/>
      </c>
      <c r="D26" s="28" t="inlineStr">
        <is>
          <t>kr</t>
        </is>
      </c>
      <c r="E26" s="29" t="inlineStr">
        <is>
          <t>Dekningsbidrag (DB) med tilskot = Dekningsbidrag (DB) utan tilskot [C25] + Produksjonstilskot fordelt på produksjonen [C11]</t>
        </is>
      </c>
      <c r="F26" s="30" t="inlineStr">
        <is>
          <t>=C25+C11</t>
        </is>
      </c>
    </row>
    <row r="27">
      <c r="A27" s="20" t="inlineStr">
        <is>
          <t>DB m/tilskot etter maskinkostnader</t>
        </is>
      </c>
      <c r="B27" s="21" t="inlineStr">
        <is>
          <t>Utrekna</t>
        </is>
      </c>
      <c r="C27" s="22">
        <f>C26-C21</f>
        <v/>
      </c>
      <c r="D27" s="12" t="inlineStr">
        <is>
          <t>kr</t>
        </is>
      </c>
      <c r="E27" s="23" t="inlineStr">
        <is>
          <t>DB m/tilskot etter maskinkostnader = Dekningsbidrag (DB) med tilskot [C26] − Maskinkostnader fordelt [C21]</t>
        </is>
      </c>
      <c r="F27" s="24" t="inlineStr">
        <is>
          <t>=C26-C21</t>
        </is>
      </c>
    </row>
    <row r="28">
      <c r="A28" s="18" t="inlineStr">
        <is>
          <t>5. OUTPUT – Per eining (pr dekar)</t>
        </is>
      </c>
      <c r="B28" s="19" t="n"/>
      <c r="C28" s="19" t="n"/>
      <c r="D28" s="19" t="n"/>
      <c r="E28" s="19" t="n"/>
      <c r="F28" s="19" t="n"/>
    </row>
    <row r="29">
      <c r="A29" s="18" t="inlineStr">
        <is>
          <t>Produksjonsinntekter pr dekar</t>
        </is>
      </c>
      <c r="B29" s="19" t="n"/>
      <c r="C29" s="19" t="n"/>
      <c r="D29" s="19" t="n"/>
      <c r="E29" s="19" t="n"/>
      <c r="F29" s="19" t="n"/>
    </row>
    <row r="30">
      <c r="A30" s="20" t="inlineStr">
        <is>
          <t>Sal av høy</t>
        </is>
      </c>
      <c r="B30" s="21" t="inlineStr">
        <is>
          <t>Utrekna</t>
        </is>
      </c>
      <c r="C30" s="38">
        <f>IF((C7)=0,0,(C12)/(C7))</f>
        <v/>
      </c>
      <c r="D30" s="12" t="inlineStr">
        <is>
          <t>kr</t>
        </is>
      </c>
      <c r="E30" s="23" t="inlineStr">
        <is>
          <t>Sal av høy = Sal av høy [C12] ÷ Tal dekar [C7]</t>
        </is>
      </c>
      <c r="F30" s="24" t="inlineStr">
        <is>
          <t>=IF((C7)=0,0,(C12)/(C7))</t>
        </is>
      </c>
    </row>
    <row r="31">
      <c r="A31" s="20" t="inlineStr">
        <is>
          <t>Beholdningsendring ferdigvarer (+ = auke)</t>
        </is>
      </c>
      <c r="B31" s="21" t="inlineStr">
        <is>
          <t>Utrekna</t>
        </is>
      </c>
      <c r="C31" s="38">
        <f>IF((C7)=0,0,(C13)/(C7))</f>
        <v/>
      </c>
      <c r="D31" s="12" t="inlineStr">
        <is>
          <t>kr</t>
        </is>
      </c>
      <c r="E31" s="23" t="inlineStr">
        <is>
          <t>Beholdningsendring ferdigvarer (+ = auke) = Beholdningsendring ferdigvarer (+ = auke) [C13] ÷ Tal dekar [C7]</t>
        </is>
      </c>
      <c r="F31" s="24" t="inlineStr">
        <is>
          <t>=IF((C7)=0,0,(C13)/(C7))</t>
        </is>
      </c>
    </row>
    <row r="32">
      <c r="A32" s="20" t="inlineStr">
        <is>
          <t>Andre inntekter</t>
        </is>
      </c>
      <c r="B32" s="21" t="inlineStr">
        <is>
          <t>Utrekna</t>
        </is>
      </c>
      <c r="C32" s="38">
        <f>IF((C7)=0,0,(C14)/(C7))</f>
        <v/>
      </c>
      <c r="D32" s="12" t="inlineStr">
        <is>
          <t>kr</t>
        </is>
      </c>
      <c r="E32" s="23" t="inlineStr">
        <is>
          <t>Andre inntekter = Andre inntekter [C14] ÷ Tal dekar [C7]</t>
        </is>
      </c>
      <c r="F32" s="24" t="inlineStr">
        <is>
          <t>=IF((C7)=0,0,(C14)/(C7))</t>
        </is>
      </c>
    </row>
    <row r="33">
      <c r="A33" s="20" t="inlineStr">
        <is>
          <t>Produksjonsinntekter i alt</t>
        </is>
      </c>
      <c r="B33" s="21" t="inlineStr">
        <is>
          <t>Utrekna</t>
        </is>
      </c>
      <c r="C33" s="38">
        <f>IF((C7)=0,0,(C23)/(C7))</f>
        <v/>
      </c>
      <c r="D33" s="12" t="inlineStr">
        <is>
          <t>kr</t>
        </is>
      </c>
      <c r="E33" s="23" t="inlineStr">
        <is>
          <t>Produksjonsinntekter i alt = Produksjonsinntekter i alt [C23] ÷ Tal dekar [C7]</t>
        </is>
      </c>
      <c r="F33" s="24" t="inlineStr">
        <is>
          <t>=IF((C7)=0,0,(C23)/(C7))</t>
        </is>
      </c>
    </row>
    <row r="34">
      <c r="A34" s="18" t="inlineStr">
        <is>
          <t>Variable kostnader pr dekar</t>
        </is>
      </c>
      <c r="B34" s="19" t="n"/>
      <c r="C34" s="19" t="n"/>
      <c r="D34" s="19" t="n"/>
      <c r="E34" s="19" t="n"/>
      <c r="F34" s="19" t="n"/>
    </row>
    <row r="35">
      <c r="A35" s="20" t="inlineStr">
        <is>
          <t>Gjødsel og kalk</t>
        </is>
      </c>
      <c r="B35" s="21" t="inlineStr">
        <is>
          <t>Utrekna</t>
        </is>
      </c>
      <c r="C35" s="38">
        <f>IF((C7)=0,0,(C16)/(C7))</f>
        <v/>
      </c>
      <c r="D35" s="12" t="inlineStr">
        <is>
          <t>kr</t>
        </is>
      </c>
      <c r="E35" s="23" t="inlineStr">
        <is>
          <t>Gjødsel og kalk = Gjødsel og kalk [C16] ÷ Tal dekar [C7]</t>
        </is>
      </c>
      <c r="F35" s="24" t="inlineStr">
        <is>
          <t>=IF((C7)=0,0,(C16)/(C7))</t>
        </is>
      </c>
    </row>
    <row r="36">
      <c r="A36" s="20" t="inlineStr">
        <is>
          <t>Plantevernmiddel</t>
        </is>
      </c>
      <c r="B36" s="21" t="inlineStr">
        <is>
          <t>Utrekna</t>
        </is>
      </c>
      <c r="C36" s="38">
        <f>IF((C7)=0,0,(C17)/(C7))</f>
        <v/>
      </c>
      <c r="D36" s="12" t="inlineStr">
        <is>
          <t>kr</t>
        </is>
      </c>
      <c r="E36" s="23" t="inlineStr">
        <is>
          <t>Plantevernmiddel = Plantevernmiddel [C17] ÷ Tal dekar [C7]</t>
        </is>
      </c>
      <c r="F36" s="24" t="inlineStr">
        <is>
          <t>=IF((C7)=0,0,(C17)/(C7))</t>
        </is>
      </c>
    </row>
    <row r="37">
      <c r="A37" s="20" t="inlineStr">
        <is>
          <t>Grasfrø</t>
        </is>
      </c>
      <c r="B37" s="21" t="inlineStr">
        <is>
          <t>Utrekna</t>
        </is>
      </c>
      <c r="C37" s="38">
        <f>IF((C7)=0,0,(C18)/(C7))</f>
        <v/>
      </c>
      <c r="D37" s="12" t="inlineStr">
        <is>
          <t>kr</t>
        </is>
      </c>
      <c r="E37" s="23" t="inlineStr">
        <is>
          <t>Grasfrø = Grasfrø [C18] ÷ Tal dekar [C7]</t>
        </is>
      </c>
      <c r="F37" s="24" t="inlineStr">
        <is>
          <t>=IF((C7)=0,0,(C18)/(C7))</t>
        </is>
      </c>
    </row>
    <row r="38">
      <c r="A38" s="20" t="inlineStr">
        <is>
          <t>Andre variable kostnader</t>
        </is>
      </c>
      <c r="B38" s="21" t="inlineStr">
        <is>
          <t>Utrekna</t>
        </is>
      </c>
      <c r="C38" s="38">
        <f>IF((C7)=0,0,(C19)/(C7))</f>
        <v/>
      </c>
      <c r="D38" s="12" t="inlineStr">
        <is>
          <t>kr</t>
        </is>
      </c>
      <c r="E38" s="23" t="inlineStr">
        <is>
          <t>Andre variable kostnader = Andre variable kostnader [C19] ÷ Tal dekar [C7]</t>
        </is>
      </c>
      <c r="F38" s="24" t="inlineStr">
        <is>
          <t>=IF((C7)=0,0,(C19)/(C7))</t>
        </is>
      </c>
    </row>
    <row r="39">
      <c r="A39" s="20" t="inlineStr">
        <is>
          <t>Sum variable kostnader</t>
        </is>
      </c>
      <c r="B39" s="21" t="inlineStr">
        <is>
          <t>Utrekna</t>
        </is>
      </c>
      <c r="C39" s="38">
        <f>IF((C7)=0,0,(C24)/(C7))</f>
        <v/>
      </c>
      <c r="D39" s="12" t="inlineStr">
        <is>
          <t>kr</t>
        </is>
      </c>
      <c r="E39" s="23" t="inlineStr">
        <is>
          <t>Sum variable kostnader = Variable kostnader i alt [C24] ÷ Tal dekar [C7]</t>
        </is>
      </c>
      <c r="F39" s="24" t="inlineStr">
        <is>
          <t>=IF((C7)=0,0,(C24)/(C7))</t>
        </is>
      </c>
    </row>
    <row r="40">
      <c r="A40" s="18" t="inlineStr">
        <is>
          <t>Resultat pr dekar</t>
        </is>
      </c>
      <c r="B40" s="19" t="n"/>
      <c r="C40" s="19" t="n"/>
      <c r="D40" s="19" t="n"/>
      <c r="E40" s="19" t="n"/>
      <c r="F40" s="19" t="n"/>
    </row>
    <row r="41">
      <c r="A41" s="20" t="inlineStr">
        <is>
          <t>DB utan tilskot</t>
        </is>
      </c>
      <c r="B41" s="21" t="inlineStr">
        <is>
          <t>Utrekna</t>
        </is>
      </c>
      <c r="C41" s="38">
        <f>IF((C7)=0,0,(C25)/(C7))</f>
        <v/>
      </c>
      <c r="D41" s="12" t="inlineStr">
        <is>
          <t>kr</t>
        </is>
      </c>
      <c r="E41" s="23" t="inlineStr">
        <is>
          <t>DB utan tilskot = Dekningsbidrag (DB) utan tilskot [C25] ÷ Tal dekar [C7]</t>
        </is>
      </c>
      <c r="F41" s="24" t="inlineStr">
        <is>
          <t>=IF((C7)=0,0,(C25)/(C7))</t>
        </is>
      </c>
    </row>
    <row r="42">
      <c r="A42" s="20" t="inlineStr">
        <is>
          <t>Tilskot</t>
        </is>
      </c>
      <c r="B42" s="21" t="inlineStr">
        <is>
          <t>Utrekna</t>
        </is>
      </c>
      <c r="C42" s="38">
        <f>IF((C7)=0,0,(C11)/(C7))</f>
        <v/>
      </c>
      <c r="D42" s="12" t="inlineStr">
        <is>
          <t>kr</t>
        </is>
      </c>
      <c r="E42" s="23" t="inlineStr">
        <is>
          <t>Tilskot = Produksjonstilskot fordelt på produksjonen [C11] ÷ Tal dekar [C7]</t>
        </is>
      </c>
      <c r="F42" s="24" t="inlineStr">
        <is>
          <t>=IF((C7)=0,0,(C11)/(C7))</t>
        </is>
      </c>
    </row>
    <row r="43">
      <c r="A43" s="20" t="inlineStr">
        <is>
          <t>DB med tilskot</t>
        </is>
      </c>
      <c r="B43" s="21" t="inlineStr">
        <is>
          <t>Utrekna</t>
        </is>
      </c>
      <c r="C43" s="38">
        <f>IF((C7)=0,0,(C26)/(C7))</f>
        <v/>
      </c>
      <c r="D43" s="12" t="inlineStr">
        <is>
          <t>kr</t>
        </is>
      </c>
      <c r="E43" s="23" t="inlineStr">
        <is>
          <t>DB med tilskot = Dekningsbidrag (DB) med tilskot [C26] ÷ Tal dekar [C7]</t>
        </is>
      </c>
      <c r="F43" s="24" t="inlineStr">
        <is>
          <t>=IF((C7)=0,0,(C26)/(C7))</t>
        </is>
      </c>
    </row>
    <row r="44">
      <c r="A44" s="20" t="inlineStr">
        <is>
          <t>Maskinkostnader</t>
        </is>
      </c>
      <c r="B44" s="21" t="inlineStr">
        <is>
          <t>Utrekna</t>
        </is>
      </c>
      <c r="C44" s="38">
        <f>IF((C7)=0,0,(C21)/(C7))</f>
        <v/>
      </c>
      <c r="D44" s="12" t="inlineStr">
        <is>
          <t>kr</t>
        </is>
      </c>
      <c r="E44" s="23" t="inlineStr">
        <is>
          <t>Maskinkostnader = Maskinkostnader fordelt [C21] ÷ Tal dekar [C7]</t>
        </is>
      </c>
      <c r="F44" s="24" t="inlineStr">
        <is>
          <t>=IF((C7)=0,0,(C21)/(C7))</t>
        </is>
      </c>
    </row>
    <row r="45">
      <c r="A45" s="20" t="inlineStr">
        <is>
          <t>DB m/tilskot etter maskinkostnader</t>
        </is>
      </c>
      <c r="B45" s="21" t="inlineStr">
        <is>
          <t>Utrekna</t>
        </is>
      </c>
      <c r="C45" s="38">
        <f>IF((C7)=0,0,(C27)/(C7))</f>
        <v/>
      </c>
      <c r="D45" s="12" t="inlineStr">
        <is>
          <t>kr</t>
        </is>
      </c>
      <c r="E45" s="23" t="inlineStr">
        <is>
          <t>DB m/tilskot etter maskinkostnader = DB m/tilskot etter maskinkostnader [C27] ÷ Tal dekar [C7]</t>
        </is>
      </c>
      <c r="F45" s="24" t="inlineStr">
        <is>
          <t>=IF((C7)=0,0,(C27)/(C7))</t>
        </is>
      </c>
    </row>
    <row r="46">
      <c r="A46" s="18" t="inlineStr">
        <is>
          <t>6. OUTPUT – Nøkkeltal</t>
        </is>
      </c>
      <c r="B46" s="19" t="n"/>
      <c r="C46" s="19" t="n"/>
      <c r="D46" s="19" t="n"/>
      <c r="E46" s="19" t="n"/>
      <c r="F46" s="19" t="n"/>
    </row>
    <row r="47">
      <c r="A47" s="25" t="inlineStr">
        <is>
          <t>DB pr dekar u/tilskot</t>
        </is>
      </c>
      <c r="B47" s="26" t="inlineStr">
        <is>
          <t>Utrekna</t>
        </is>
      </c>
      <c r="C47" s="39">
        <f>IF((C7)=0,0,(C25)/(C7))</f>
        <v/>
      </c>
      <c r="D47" s="28" t="inlineStr">
        <is>
          <t>kr</t>
        </is>
      </c>
      <c r="E47" s="29" t="inlineStr">
        <is>
          <t>DB pr dekar u/tilskot = Dekningsbidrag (DB) utan tilskot [C25] ÷ Tal dekar [C7]</t>
        </is>
      </c>
      <c r="F47" s="30" t="inlineStr">
        <is>
          <t>=IF((C7)=0,0,(C25)/(C7))</t>
        </is>
      </c>
    </row>
    <row r="48">
      <c r="A48" s="25" t="inlineStr">
        <is>
          <t>DB pr dekar m/tilskot</t>
        </is>
      </c>
      <c r="B48" s="26" t="inlineStr">
        <is>
          <t>Utrekna</t>
        </is>
      </c>
      <c r="C48" s="39">
        <f>IF((C7)=0,0,(C26)/(C7))</f>
        <v/>
      </c>
      <c r="D48" s="28" t="inlineStr">
        <is>
          <t>kr</t>
        </is>
      </c>
      <c r="E48" s="29" t="inlineStr">
        <is>
          <t>DB pr dekar m/tilskot = Dekningsbidrag (DB) med tilskot [C26] ÷ Tal dekar [C7]</t>
        </is>
      </c>
      <c r="F48" s="30" t="inlineStr">
        <is>
          <t>=IF((C7)=0,0,(C26)/(C7))</t>
        </is>
      </c>
    </row>
    <row r="49">
      <c r="A49" s="25" t="inlineStr">
        <is>
          <t>Oppnådd pris pr kg</t>
        </is>
      </c>
      <c r="B49" s="26" t="inlineStr">
        <is>
          <t>Utrekna</t>
        </is>
      </c>
      <c r="C49" s="39">
        <f>IF((C9)=0,0,(C12)/(C9))</f>
        <v/>
      </c>
      <c r="D49" s="28" t="inlineStr">
        <is>
          <t>kr</t>
        </is>
      </c>
      <c r="E49" s="29" t="inlineStr">
        <is>
          <t>Oppnådd pris pr kg = Sal av høy [C12] ÷ Seld mengd [C9]</t>
        </is>
      </c>
      <c r="F49" s="30" t="inlineStr">
        <is>
          <t>=IF((C9)=0,0,(C12)/(C9))</t>
        </is>
      </c>
    </row>
    <row r="50">
      <c r="A50" s="25" t="inlineStr">
        <is>
          <t>Avling pr dekar (kg)</t>
        </is>
      </c>
      <c r="B50" s="26" t="inlineStr">
        <is>
          <t>Utrekna</t>
        </is>
      </c>
      <c r="C50" s="37">
        <f>IF((C7)=0,0,(C8)/(C7))</f>
        <v/>
      </c>
      <c r="D50" s="28" t="inlineStr">
        <is>
          <t>kg</t>
        </is>
      </c>
      <c r="E50" s="29" t="inlineStr">
        <is>
          <t>Avling pr dekar (kg) = Avling totalt [C8] ÷ Tal dekar [C7]</t>
        </is>
      </c>
      <c r="F50" s="30" t="inlineStr">
        <is>
          <t>=IF((C7)=0,0,(C8)/(C7))</t>
        </is>
      </c>
    </row>
    <row r="51">
      <c r="A51" s="25" t="inlineStr">
        <is>
          <t>Maskinkostnader pr dekar</t>
        </is>
      </c>
      <c r="B51" s="26" t="inlineStr">
        <is>
          <t>Utrekna</t>
        </is>
      </c>
      <c r="C51" s="39">
        <f>IF((C7)=0,0,(C21)/(C7))</f>
        <v/>
      </c>
      <c r="D51" s="28" t="inlineStr">
        <is>
          <t>kr</t>
        </is>
      </c>
      <c r="E51" s="29" t="inlineStr">
        <is>
          <t>Maskinkostnader pr dekar = Maskinkostnader fordelt [C21] ÷ Tal dekar [C7]</t>
        </is>
      </c>
      <c r="F51" s="30" t="inlineStr">
        <is>
          <t>=IF((C7)=0,0,(C21)/(C7))</t>
        </is>
      </c>
    </row>
    <row r="52">
      <c r="A52" s="25" t="inlineStr">
        <is>
          <t>DB etter maskinkostnader pr dekar</t>
        </is>
      </c>
      <c r="B52" s="26" t="inlineStr">
        <is>
          <t>Utrekna</t>
        </is>
      </c>
      <c r="C52" s="39">
        <f>IF((C7)=0,0,(C27)/(C7))</f>
        <v/>
      </c>
      <c r="D52" s="28" t="inlineStr">
        <is>
          <t>kr</t>
        </is>
      </c>
      <c r="E52" s="29" t="inlineStr">
        <is>
          <t>DB etter maskinkostnader pr dekar = DB m/tilskot etter maskinkostnader [C27] ÷ Tal dekar [C7]</t>
        </is>
      </c>
      <c r="F52" s="30" t="inlineStr">
        <is>
          <t>=IF((C7)=0,0,(C27)/(C7))</t>
        </is>
      </c>
    </row>
  </sheetData>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F54"/>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0" customWidth="1" min="1" max="1"/>
    <col width="34" customWidth="1" min="2" max="2"/>
    <col width="16" customWidth="1" min="3" max="3"/>
    <col width="10" customWidth="1" min="4" max="4"/>
    <col width="78" customWidth="1" min="5" max="5"/>
    <col width="46" customWidth="1" min="6" max="6"/>
  </cols>
  <sheetData>
    <row r="1" ht="22" customHeight="1">
      <c r="A1" s="1" t="inlineStr">
        <is>
          <t>Potetproduksjon  –  driftsgrein 2100-2130</t>
        </is>
      </c>
    </row>
    <row r="2">
      <c r="A2" s="7" t="inlineStr">
        <is>
          <t>Matpotet og settepotet (driftsgrein 2100–2130).</t>
        </is>
      </c>
    </row>
    <row r="3">
      <c r="A3" s="8" t="inlineStr">
        <is>
          <t>Fargekodar:  blå tal på gul botn = input (skal fyllast inn)   ·   svart = formel   ·   grøn = lenkje frå anna ark.   Alle kronebeløp er positive (inntekt og kostnad).</t>
        </is>
      </c>
    </row>
    <row r="5">
      <c r="A5" s="17" t="inlineStr">
        <is>
          <t>Post</t>
        </is>
      </c>
      <c r="B5" s="17" t="inlineStr">
        <is>
          <t>Kjelde / Tripletex-konto</t>
        </is>
      </c>
      <c r="C5" s="17" t="inlineStr">
        <is>
          <t>Verdi</t>
        </is>
      </c>
      <c r="D5" s="17" t="inlineStr">
        <is>
          <t>Eining</t>
        </is>
      </c>
      <c r="E5" s="17" t="inlineStr">
        <is>
          <t>Formel forklart (korleis outputen blir rekna)</t>
        </is>
      </c>
      <c r="F5" s="17" t="inlineStr">
        <is>
          <t>Excel-formel</t>
        </is>
      </c>
    </row>
    <row r="6">
      <c r="A6" s="18" t="inlineStr">
        <is>
          <t>1. INPUT – Produksjonsdata</t>
        </is>
      </c>
      <c r="B6" s="19" t="n"/>
      <c r="C6" s="19" t="n"/>
      <c r="D6" s="19" t="n"/>
      <c r="E6" s="19" t="n"/>
      <c r="F6" s="19" t="n"/>
    </row>
    <row r="7">
      <c r="A7" s="20" t="inlineStr">
        <is>
          <t>Tal dekar</t>
        </is>
      </c>
      <c r="B7" s="24" t="inlineStr">
        <is>
          <t>Produksjonstabell / søknad om produksjonstilskot</t>
        </is>
      </c>
      <c r="C7" s="31" t="n">
        <v>30</v>
      </c>
      <c r="D7" s="12" t="inlineStr">
        <is>
          <t>da</t>
        </is>
      </c>
      <c r="E7" s="24" t="inlineStr">
        <is>
          <t>Input. Hentast frå: Produksjonstabell / søknad om produksjonstilskot.</t>
        </is>
      </c>
      <c r="F7" s="32" t="n"/>
    </row>
    <row r="8">
      <c r="A8" s="20" t="inlineStr">
        <is>
          <t>Avling totalt</t>
        </is>
      </c>
      <c r="B8" s="24" t="inlineStr">
        <is>
          <t>Produksjonstabell / avlingsregistrering</t>
        </is>
      </c>
      <c r="C8" s="31" t="n">
        <v>75000</v>
      </c>
      <c r="D8" s="12" t="inlineStr">
        <is>
          <t>kg</t>
        </is>
      </c>
      <c r="E8" s="24" t="inlineStr">
        <is>
          <t>Input. Hentast frå: Produksjonstabell / avlingsregistrering.</t>
        </is>
      </c>
      <c r="F8" s="32" t="n"/>
    </row>
    <row r="9">
      <c r="A9" s="20" t="inlineStr">
        <is>
          <t>Seld mengd</t>
        </is>
      </c>
      <c r="B9" s="24" t="inlineStr">
        <is>
          <t>Mengde 1/2 på salskonto (3010-3011)</t>
        </is>
      </c>
      <c r="C9" s="31" t="n">
        <v>60000</v>
      </c>
      <c r="D9" s="12" t="inlineStr">
        <is>
          <t>kg</t>
        </is>
      </c>
      <c r="E9" s="24" t="inlineStr">
        <is>
          <t>Input. Hentast frå: Mengde 1/2 på salskonto (3010-3011).</t>
        </is>
      </c>
      <c r="F9" s="32" t="n"/>
    </row>
    <row r="10">
      <c r="A10" s="18" t="inlineStr">
        <is>
          <t>2. INPUT – Rekneskapstal (kr) frå saldobalansen etter korrigeringar</t>
        </is>
      </c>
      <c r="B10" s="19" t="n"/>
      <c r="C10" s="19" t="n"/>
      <c r="D10" s="19" t="n"/>
      <c r="E10" s="19" t="n"/>
      <c r="F10" s="19" t="n"/>
    </row>
    <row r="11">
      <c r="A11" s="20" t="inlineStr">
        <is>
          <t>Produksjonstilskot fordelt på produksjonen</t>
        </is>
      </c>
      <c r="B11" s="24" t="inlineStr">
        <is>
          <t>34xx (ikkje 344x avløysartilskot)</t>
        </is>
      </c>
      <c r="C11" s="31" t="n">
        <v>25000</v>
      </c>
      <c r="D11" s="12" t="inlineStr">
        <is>
          <t>kr</t>
        </is>
      </c>
      <c r="E11" s="24" t="inlineStr">
        <is>
          <t>Input. Hentast frå: 34xx (ikkje 344x avløysartilskot).</t>
        </is>
      </c>
      <c r="F11" s="32" t="n"/>
    </row>
    <row r="12">
      <c r="A12" s="20" t="inlineStr">
        <is>
          <t>Sal av potet</t>
        </is>
      </c>
      <c r="B12" s="24" t="inlineStr">
        <is>
          <t>3010-3011</t>
        </is>
      </c>
      <c r="C12" s="31" t="n">
        <v>312000</v>
      </c>
      <c r="D12" s="12" t="inlineStr">
        <is>
          <t>kr</t>
        </is>
      </c>
      <c r="E12" s="24" t="inlineStr">
        <is>
          <t>Input. Hentast frå: 3010-3011.</t>
        </is>
      </c>
      <c r="F12" s="32" t="n"/>
    </row>
    <row r="13">
      <c r="A13" s="20" t="inlineStr">
        <is>
          <t>Beholdningsendring ferdigvarer (+ = auke)</t>
        </is>
      </c>
      <c r="B13" s="24" t="inlineStr">
        <is>
          <t>4290-4298 (forteikn snudd)</t>
        </is>
      </c>
      <c r="C13" s="31" t="n">
        <v>15000</v>
      </c>
      <c r="D13" s="12" t="inlineStr">
        <is>
          <t>kr</t>
        </is>
      </c>
      <c r="E13" s="24" t="inlineStr">
        <is>
          <t>Input. Hentast frå: 4290-4298 (forteikn snudd).</t>
        </is>
      </c>
      <c r="F13" s="32" t="n"/>
    </row>
    <row r="14">
      <c r="A14" s="20" t="inlineStr">
        <is>
          <t>Andre inntekter</t>
        </is>
      </c>
      <c r="B14" s="24" t="inlineStr">
        <is>
          <t>andre 3xxx kopla til produksjonen</t>
        </is>
      </c>
      <c r="C14" s="31" t="n">
        <v>0</v>
      </c>
      <c r="D14" s="12" t="inlineStr">
        <is>
          <t>kr</t>
        </is>
      </c>
      <c r="E14" s="24" t="inlineStr">
        <is>
          <t>Input. Hentast frå: andre 3xxx kopla til produksjonen.</t>
        </is>
      </c>
      <c r="F14" s="32" t="n"/>
    </row>
    <row r="15">
      <c r="A15" s="18" t="inlineStr">
        <is>
          <t>Variable kostnader</t>
        </is>
      </c>
      <c r="B15" s="19" t="n"/>
      <c r="C15" s="19" t="n"/>
      <c r="D15" s="19" t="n"/>
      <c r="E15" s="19" t="n"/>
      <c r="F15" s="19" t="n"/>
    </row>
    <row r="16">
      <c r="A16" s="20" t="inlineStr">
        <is>
          <t>Gjødsel og kalk</t>
        </is>
      </c>
      <c r="B16" s="24" t="inlineStr">
        <is>
          <t>4050, 4057, 4095</t>
        </is>
      </c>
      <c r="C16" s="31" t="n">
        <v>21000</v>
      </c>
      <c r="D16" s="12" t="inlineStr">
        <is>
          <t>kr</t>
        </is>
      </c>
      <c r="E16" s="24" t="inlineStr">
        <is>
          <t>Input. Hentast frå: 4050, 4057, 4095.</t>
        </is>
      </c>
      <c r="F16" s="32" t="n"/>
    </row>
    <row r="17">
      <c r="A17" s="20" t="inlineStr">
        <is>
          <t>Plantevernmiddel</t>
        </is>
      </c>
      <c r="B17" s="24" t="inlineStr">
        <is>
          <t>4110, 4111, 4191</t>
        </is>
      </c>
      <c r="C17" s="31" t="n">
        <v>24000</v>
      </c>
      <c r="D17" s="12" t="inlineStr">
        <is>
          <t>kr</t>
        </is>
      </c>
      <c r="E17" s="24" t="inlineStr">
        <is>
          <t>Input. Hentast frå: 4110, 4111, 4191.</t>
        </is>
      </c>
      <c r="F17" s="32" t="n"/>
    </row>
    <row r="18">
      <c r="A18" s="20" t="inlineStr">
        <is>
          <t>Settepotet</t>
        </is>
      </c>
      <c r="B18" s="24" t="inlineStr">
        <is>
          <t>4010, 4091</t>
        </is>
      </c>
      <c r="C18" s="31" t="n">
        <v>45000</v>
      </c>
      <c r="D18" s="12" t="inlineStr">
        <is>
          <t>kr</t>
        </is>
      </c>
      <c r="E18" s="24" t="inlineStr">
        <is>
          <t>Input. Hentast frå: 4010, 4091.</t>
        </is>
      </c>
      <c r="F18" s="32" t="n"/>
    </row>
    <row r="19">
      <c r="A19" s="20" t="inlineStr">
        <is>
          <t>Emballasje</t>
        </is>
      </c>
      <c r="B19" s="24" t="inlineStr">
        <is>
          <t>4140-4142, 4194</t>
        </is>
      </c>
      <c r="C19" s="31" t="n">
        <v>30000</v>
      </c>
      <c r="D19" s="12" t="inlineStr">
        <is>
          <t>kr</t>
        </is>
      </c>
      <c r="E19" s="24" t="inlineStr">
        <is>
          <t>Input. Hentast frå: 4140-4142, 4194.</t>
        </is>
      </c>
      <c r="F19" s="32" t="n"/>
    </row>
    <row r="20">
      <c r="A20" s="20" t="inlineStr">
        <is>
          <t>Andre variable kostnader</t>
        </is>
      </c>
      <c r="B20" s="24" t="inlineStr">
        <is>
          <t>4540-4549, 4160 + andre 4xxx</t>
        </is>
      </c>
      <c r="C20" s="31" t="n">
        <v>20000</v>
      </c>
      <c r="D20" s="12" t="inlineStr">
        <is>
          <t>kr</t>
        </is>
      </c>
      <c r="E20" s="24" t="inlineStr">
        <is>
          <t>Input. Hentast frå: 4540-4549, 4160 + andre 4xxx.</t>
        </is>
      </c>
      <c r="F20" s="32" t="n"/>
    </row>
    <row r="21">
      <c r="A21" s="18" t="inlineStr">
        <is>
          <t>3. INPUT – Fordelte faste kostnader (lenka frå arket «Faste kostnader»)</t>
        </is>
      </c>
      <c r="B21" s="19" t="n"/>
      <c r="C21" s="19" t="n"/>
      <c r="D21" s="19" t="n"/>
      <c r="E21" s="19" t="n"/>
      <c r="F21" s="19" t="n"/>
    </row>
    <row r="22">
      <c r="A22" s="20" t="inlineStr">
        <is>
          <t>Maskinkostnader fordelt</t>
        </is>
      </c>
      <c r="B22" s="21" t="inlineStr">
        <is>
          <t>Lenkje frå anna ark</t>
        </is>
      </c>
      <c r="C22" s="13">
        <f>'Faste kostnader'!C40</f>
        <v/>
      </c>
      <c r="D22" s="12" t="inlineStr">
        <is>
          <t>kr</t>
        </is>
      </c>
      <c r="E22" s="23" t="inlineStr">
        <is>
          <t>Maskinkostnader fordelt = Maskinkostnader – Potet [Faste kostnader!C40]</t>
        </is>
      </c>
      <c r="F22" s="24" t="inlineStr">
        <is>
          <t>='Faste kostnader'!C40</t>
        </is>
      </c>
    </row>
    <row r="23">
      <c r="A23" s="18" t="inlineStr">
        <is>
          <t>4. UTREKNING – Totalt for produksjonen</t>
        </is>
      </c>
      <c r="B23" s="19" t="n"/>
      <c r="C23" s="19" t="n"/>
      <c r="D23" s="19" t="n"/>
      <c r="E23" s="19" t="n"/>
      <c r="F23" s="19" t="n"/>
    </row>
    <row r="24">
      <c r="A24" s="20" t="inlineStr">
        <is>
          <t>Produksjonsinntekter i alt</t>
        </is>
      </c>
      <c r="B24" s="21" t="inlineStr">
        <is>
          <t>Utrekna</t>
        </is>
      </c>
      <c r="C24" s="22">
        <f>C12+C13+C14</f>
        <v/>
      </c>
      <c r="D24" s="12" t="inlineStr">
        <is>
          <t>kr</t>
        </is>
      </c>
      <c r="E24" s="23" t="inlineStr">
        <is>
          <t>Produksjonsinntekter i alt = Sal av potet [C12] + Beholdningsendring ferdigvarer (+ = auke) [C13] + Andre inntekter [C14]</t>
        </is>
      </c>
      <c r="F24" s="24" t="inlineStr">
        <is>
          <t>=C12+C13+C14</t>
        </is>
      </c>
    </row>
    <row r="25">
      <c r="A25" s="20" t="inlineStr">
        <is>
          <t>Variable kostnader i alt</t>
        </is>
      </c>
      <c r="B25" s="21" t="inlineStr">
        <is>
          <t>Utrekna</t>
        </is>
      </c>
      <c r="C25" s="22">
        <f>C16+C17+C18+C19+C20</f>
        <v/>
      </c>
      <c r="D25" s="12" t="inlineStr">
        <is>
          <t>kr</t>
        </is>
      </c>
      <c r="E25" s="23" t="inlineStr">
        <is>
          <t>Variable kostnader i alt = Gjødsel og kalk [C16] + Plantevernmiddel [C17] + Settepotet [C18] + Emballasje [C19] + Andre variable kostnader [C20]</t>
        </is>
      </c>
      <c r="F25" s="24" t="inlineStr">
        <is>
          <t>=C16+C17+C18+C19+C20</t>
        </is>
      </c>
    </row>
    <row r="26">
      <c r="A26" s="25" t="inlineStr">
        <is>
          <t>Dekningsbidrag (DB) utan tilskot</t>
        </is>
      </c>
      <c r="B26" s="26" t="inlineStr">
        <is>
          <t>Utrekna</t>
        </is>
      </c>
      <c r="C26" s="27">
        <f>C24-C25</f>
        <v/>
      </c>
      <c r="D26" s="28" t="inlineStr">
        <is>
          <t>kr</t>
        </is>
      </c>
      <c r="E26" s="29" t="inlineStr">
        <is>
          <t>Dekningsbidrag (DB) utan tilskot = Produksjonsinntekter i alt [C24] − Variable kostnader i alt [C25]</t>
        </is>
      </c>
      <c r="F26" s="30" t="inlineStr">
        <is>
          <t>=C24-C25</t>
        </is>
      </c>
    </row>
    <row r="27">
      <c r="A27" s="25" t="inlineStr">
        <is>
          <t>Dekningsbidrag (DB) med tilskot</t>
        </is>
      </c>
      <c r="B27" s="26" t="inlineStr">
        <is>
          <t>Utrekna</t>
        </is>
      </c>
      <c r="C27" s="27">
        <f>C26+C11</f>
        <v/>
      </c>
      <c r="D27" s="28" t="inlineStr">
        <is>
          <t>kr</t>
        </is>
      </c>
      <c r="E27" s="29" t="inlineStr">
        <is>
          <t>Dekningsbidrag (DB) med tilskot = Dekningsbidrag (DB) utan tilskot [C26] + Produksjonstilskot fordelt på produksjonen [C11]</t>
        </is>
      </c>
      <c r="F27" s="30" t="inlineStr">
        <is>
          <t>=C26+C11</t>
        </is>
      </c>
    </row>
    <row r="28">
      <c r="A28" s="20" t="inlineStr">
        <is>
          <t>DB m/tilskot etter maskinkostnader</t>
        </is>
      </c>
      <c r="B28" s="21" t="inlineStr">
        <is>
          <t>Utrekna</t>
        </is>
      </c>
      <c r="C28" s="22">
        <f>C27-C22</f>
        <v/>
      </c>
      <c r="D28" s="12" t="inlineStr">
        <is>
          <t>kr</t>
        </is>
      </c>
      <c r="E28" s="23" t="inlineStr">
        <is>
          <t>DB m/tilskot etter maskinkostnader = Dekningsbidrag (DB) med tilskot [C27] − Maskinkostnader fordelt [C22]</t>
        </is>
      </c>
      <c r="F28" s="24" t="inlineStr">
        <is>
          <t>=C27-C22</t>
        </is>
      </c>
    </row>
    <row r="29">
      <c r="A29" s="18" t="inlineStr">
        <is>
          <t>5. OUTPUT – Per eining (pr dekar)</t>
        </is>
      </c>
      <c r="B29" s="19" t="n"/>
      <c r="C29" s="19" t="n"/>
      <c r="D29" s="19" t="n"/>
      <c r="E29" s="19" t="n"/>
      <c r="F29" s="19" t="n"/>
    </row>
    <row r="30">
      <c r="A30" s="18" t="inlineStr">
        <is>
          <t>Produksjonsinntekter pr dekar</t>
        </is>
      </c>
      <c r="B30" s="19" t="n"/>
      <c r="C30" s="19" t="n"/>
      <c r="D30" s="19" t="n"/>
      <c r="E30" s="19" t="n"/>
      <c r="F30" s="19" t="n"/>
    </row>
    <row r="31">
      <c r="A31" s="20" t="inlineStr">
        <is>
          <t>Sal av potet</t>
        </is>
      </c>
      <c r="B31" s="21" t="inlineStr">
        <is>
          <t>Utrekna</t>
        </is>
      </c>
      <c r="C31" s="38">
        <f>IF((C7)=0,0,(C12)/(C7))</f>
        <v/>
      </c>
      <c r="D31" s="12" t="inlineStr">
        <is>
          <t>kr</t>
        </is>
      </c>
      <c r="E31" s="23" t="inlineStr">
        <is>
          <t>Sal av potet = Sal av potet [C12] ÷ Tal dekar [C7]</t>
        </is>
      </c>
      <c r="F31" s="24" t="inlineStr">
        <is>
          <t>=IF((C7)=0,0,(C12)/(C7))</t>
        </is>
      </c>
    </row>
    <row r="32">
      <c r="A32" s="20" t="inlineStr">
        <is>
          <t>Beholdningsendring ferdigvarer (+ = auke)</t>
        </is>
      </c>
      <c r="B32" s="21" t="inlineStr">
        <is>
          <t>Utrekna</t>
        </is>
      </c>
      <c r="C32" s="38">
        <f>IF((C7)=0,0,(C13)/(C7))</f>
        <v/>
      </c>
      <c r="D32" s="12" t="inlineStr">
        <is>
          <t>kr</t>
        </is>
      </c>
      <c r="E32" s="23" t="inlineStr">
        <is>
          <t>Beholdningsendring ferdigvarer (+ = auke) = Beholdningsendring ferdigvarer (+ = auke) [C13] ÷ Tal dekar [C7]</t>
        </is>
      </c>
      <c r="F32" s="24" t="inlineStr">
        <is>
          <t>=IF((C7)=0,0,(C13)/(C7))</t>
        </is>
      </c>
    </row>
    <row r="33">
      <c r="A33" s="20" t="inlineStr">
        <is>
          <t>Andre inntekter</t>
        </is>
      </c>
      <c r="B33" s="21" t="inlineStr">
        <is>
          <t>Utrekna</t>
        </is>
      </c>
      <c r="C33" s="38">
        <f>IF((C7)=0,0,(C14)/(C7))</f>
        <v/>
      </c>
      <c r="D33" s="12" t="inlineStr">
        <is>
          <t>kr</t>
        </is>
      </c>
      <c r="E33" s="23" t="inlineStr">
        <is>
          <t>Andre inntekter = Andre inntekter [C14] ÷ Tal dekar [C7]</t>
        </is>
      </c>
      <c r="F33" s="24" t="inlineStr">
        <is>
          <t>=IF((C7)=0,0,(C14)/(C7))</t>
        </is>
      </c>
    </row>
    <row r="34">
      <c r="A34" s="20" t="inlineStr">
        <is>
          <t>Produksjonsinntekter i alt</t>
        </is>
      </c>
      <c r="B34" s="21" t="inlineStr">
        <is>
          <t>Utrekna</t>
        </is>
      </c>
      <c r="C34" s="38">
        <f>IF((C7)=0,0,(C24)/(C7))</f>
        <v/>
      </c>
      <c r="D34" s="12" t="inlineStr">
        <is>
          <t>kr</t>
        </is>
      </c>
      <c r="E34" s="23" t="inlineStr">
        <is>
          <t>Produksjonsinntekter i alt = Produksjonsinntekter i alt [C24] ÷ Tal dekar [C7]</t>
        </is>
      </c>
      <c r="F34" s="24" t="inlineStr">
        <is>
          <t>=IF((C7)=0,0,(C24)/(C7))</t>
        </is>
      </c>
    </row>
    <row r="35">
      <c r="A35" s="18" t="inlineStr">
        <is>
          <t>Variable kostnader pr dekar</t>
        </is>
      </c>
      <c r="B35" s="19" t="n"/>
      <c r="C35" s="19" t="n"/>
      <c r="D35" s="19" t="n"/>
      <c r="E35" s="19" t="n"/>
      <c r="F35" s="19" t="n"/>
    </row>
    <row r="36">
      <c r="A36" s="20" t="inlineStr">
        <is>
          <t>Gjødsel og kalk</t>
        </is>
      </c>
      <c r="B36" s="21" t="inlineStr">
        <is>
          <t>Utrekna</t>
        </is>
      </c>
      <c r="C36" s="38">
        <f>IF((C7)=0,0,(C16)/(C7))</f>
        <v/>
      </c>
      <c r="D36" s="12" t="inlineStr">
        <is>
          <t>kr</t>
        </is>
      </c>
      <c r="E36" s="23" t="inlineStr">
        <is>
          <t>Gjødsel og kalk = Gjødsel og kalk [C16] ÷ Tal dekar [C7]</t>
        </is>
      </c>
      <c r="F36" s="24" t="inlineStr">
        <is>
          <t>=IF((C7)=0,0,(C16)/(C7))</t>
        </is>
      </c>
    </row>
    <row r="37">
      <c r="A37" s="20" t="inlineStr">
        <is>
          <t>Plantevernmiddel</t>
        </is>
      </c>
      <c r="B37" s="21" t="inlineStr">
        <is>
          <t>Utrekna</t>
        </is>
      </c>
      <c r="C37" s="38">
        <f>IF((C7)=0,0,(C17)/(C7))</f>
        <v/>
      </c>
      <c r="D37" s="12" t="inlineStr">
        <is>
          <t>kr</t>
        </is>
      </c>
      <c r="E37" s="23" t="inlineStr">
        <is>
          <t>Plantevernmiddel = Plantevernmiddel [C17] ÷ Tal dekar [C7]</t>
        </is>
      </c>
      <c r="F37" s="24" t="inlineStr">
        <is>
          <t>=IF((C7)=0,0,(C17)/(C7))</t>
        </is>
      </c>
    </row>
    <row r="38">
      <c r="A38" s="20" t="inlineStr">
        <is>
          <t>Settepotet</t>
        </is>
      </c>
      <c r="B38" s="21" t="inlineStr">
        <is>
          <t>Utrekna</t>
        </is>
      </c>
      <c r="C38" s="38">
        <f>IF((C7)=0,0,(C18)/(C7))</f>
        <v/>
      </c>
      <c r="D38" s="12" t="inlineStr">
        <is>
          <t>kr</t>
        </is>
      </c>
      <c r="E38" s="23" t="inlineStr">
        <is>
          <t>Settepotet = Settepotet [C18] ÷ Tal dekar [C7]</t>
        </is>
      </c>
      <c r="F38" s="24" t="inlineStr">
        <is>
          <t>=IF((C7)=0,0,(C18)/(C7))</t>
        </is>
      </c>
    </row>
    <row r="39">
      <c r="A39" s="20" t="inlineStr">
        <is>
          <t>Emballasje</t>
        </is>
      </c>
      <c r="B39" s="21" t="inlineStr">
        <is>
          <t>Utrekna</t>
        </is>
      </c>
      <c r="C39" s="38">
        <f>IF((C7)=0,0,(C19)/(C7))</f>
        <v/>
      </c>
      <c r="D39" s="12" t="inlineStr">
        <is>
          <t>kr</t>
        </is>
      </c>
      <c r="E39" s="23" t="inlineStr">
        <is>
          <t>Emballasje = Emballasje [C19] ÷ Tal dekar [C7]</t>
        </is>
      </c>
      <c r="F39" s="24" t="inlineStr">
        <is>
          <t>=IF((C7)=0,0,(C19)/(C7))</t>
        </is>
      </c>
    </row>
    <row r="40">
      <c r="A40" s="20" t="inlineStr">
        <is>
          <t>Andre variable kostnader</t>
        </is>
      </c>
      <c r="B40" s="21" t="inlineStr">
        <is>
          <t>Utrekna</t>
        </is>
      </c>
      <c r="C40" s="38">
        <f>IF((C7)=0,0,(C20)/(C7))</f>
        <v/>
      </c>
      <c r="D40" s="12" t="inlineStr">
        <is>
          <t>kr</t>
        </is>
      </c>
      <c r="E40" s="23" t="inlineStr">
        <is>
          <t>Andre variable kostnader = Andre variable kostnader [C20] ÷ Tal dekar [C7]</t>
        </is>
      </c>
      <c r="F40" s="24" t="inlineStr">
        <is>
          <t>=IF((C7)=0,0,(C20)/(C7))</t>
        </is>
      </c>
    </row>
    <row r="41">
      <c r="A41" s="20" t="inlineStr">
        <is>
          <t>Sum variable kostnader</t>
        </is>
      </c>
      <c r="B41" s="21" t="inlineStr">
        <is>
          <t>Utrekna</t>
        </is>
      </c>
      <c r="C41" s="38">
        <f>IF((C7)=0,0,(C25)/(C7))</f>
        <v/>
      </c>
      <c r="D41" s="12" t="inlineStr">
        <is>
          <t>kr</t>
        </is>
      </c>
      <c r="E41" s="23" t="inlineStr">
        <is>
          <t>Sum variable kostnader = Variable kostnader i alt [C25] ÷ Tal dekar [C7]</t>
        </is>
      </c>
      <c r="F41" s="24" t="inlineStr">
        <is>
          <t>=IF((C7)=0,0,(C25)/(C7))</t>
        </is>
      </c>
    </row>
    <row r="42">
      <c r="A42" s="18" t="inlineStr">
        <is>
          <t>Resultat pr dekar</t>
        </is>
      </c>
      <c r="B42" s="19" t="n"/>
      <c r="C42" s="19" t="n"/>
      <c r="D42" s="19" t="n"/>
      <c r="E42" s="19" t="n"/>
      <c r="F42" s="19" t="n"/>
    </row>
    <row r="43">
      <c r="A43" s="20" t="inlineStr">
        <is>
          <t>DB utan tilskot</t>
        </is>
      </c>
      <c r="B43" s="21" t="inlineStr">
        <is>
          <t>Utrekna</t>
        </is>
      </c>
      <c r="C43" s="38">
        <f>IF((C7)=0,0,(C26)/(C7))</f>
        <v/>
      </c>
      <c r="D43" s="12" t="inlineStr">
        <is>
          <t>kr</t>
        </is>
      </c>
      <c r="E43" s="23" t="inlineStr">
        <is>
          <t>DB utan tilskot = Dekningsbidrag (DB) utan tilskot [C26] ÷ Tal dekar [C7]</t>
        </is>
      </c>
      <c r="F43" s="24" t="inlineStr">
        <is>
          <t>=IF((C7)=0,0,(C26)/(C7))</t>
        </is>
      </c>
    </row>
    <row r="44">
      <c r="A44" s="20" t="inlineStr">
        <is>
          <t>Tilskot</t>
        </is>
      </c>
      <c r="B44" s="21" t="inlineStr">
        <is>
          <t>Utrekna</t>
        </is>
      </c>
      <c r="C44" s="38">
        <f>IF((C7)=0,0,(C11)/(C7))</f>
        <v/>
      </c>
      <c r="D44" s="12" t="inlineStr">
        <is>
          <t>kr</t>
        </is>
      </c>
      <c r="E44" s="23" t="inlineStr">
        <is>
          <t>Tilskot = Produksjonstilskot fordelt på produksjonen [C11] ÷ Tal dekar [C7]</t>
        </is>
      </c>
      <c r="F44" s="24" t="inlineStr">
        <is>
          <t>=IF((C7)=0,0,(C11)/(C7))</t>
        </is>
      </c>
    </row>
    <row r="45">
      <c r="A45" s="20" t="inlineStr">
        <is>
          <t>DB med tilskot</t>
        </is>
      </c>
      <c r="B45" s="21" t="inlineStr">
        <is>
          <t>Utrekna</t>
        </is>
      </c>
      <c r="C45" s="38">
        <f>IF((C7)=0,0,(C27)/(C7))</f>
        <v/>
      </c>
      <c r="D45" s="12" t="inlineStr">
        <is>
          <t>kr</t>
        </is>
      </c>
      <c r="E45" s="23" t="inlineStr">
        <is>
          <t>DB med tilskot = Dekningsbidrag (DB) med tilskot [C27] ÷ Tal dekar [C7]</t>
        </is>
      </c>
      <c r="F45" s="24" t="inlineStr">
        <is>
          <t>=IF((C7)=0,0,(C27)/(C7))</t>
        </is>
      </c>
    </row>
    <row r="46">
      <c r="A46" s="20" t="inlineStr">
        <is>
          <t>Maskinkostnader</t>
        </is>
      </c>
      <c r="B46" s="21" t="inlineStr">
        <is>
          <t>Utrekna</t>
        </is>
      </c>
      <c r="C46" s="38">
        <f>IF((C7)=0,0,(C22)/(C7))</f>
        <v/>
      </c>
      <c r="D46" s="12" t="inlineStr">
        <is>
          <t>kr</t>
        </is>
      </c>
      <c r="E46" s="23" t="inlineStr">
        <is>
          <t>Maskinkostnader = Maskinkostnader fordelt [C22] ÷ Tal dekar [C7]</t>
        </is>
      </c>
      <c r="F46" s="24" t="inlineStr">
        <is>
          <t>=IF((C7)=0,0,(C22)/(C7))</t>
        </is>
      </c>
    </row>
    <row r="47">
      <c r="A47" s="20" t="inlineStr">
        <is>
          <t>DB m/tilskot etter maskinkostnader</t>
        </is>
      </c>
      <c r="B47" s="21" t="inlineStr">
        <is>
          <t>Utrekna</t>
        </is>
      </c>
      <c r="C47" s="38">
        <f>IF((C7)=0,0,(C28)/(C7))</f>
        <v/>
      </c>
      <c r="D47" s="12" t="inlineStr">
        <is>
          <t>kr</t>
        </is>
      </c>
      <c r="E47" s="23" t="inlineStr">
        <is>
          <t>DB m/tilskot etter maskinkostnader = DB m/tilskot etter maskinkostnader [C28] ÷ Tal dekar [C7]</t>
        </is>
      </c>
      <c r="F47" s="24" t="inlineStr">
        <is>
          <t>=IF((C7)=0,0,(C28)/(C7))</t>
        </is>
      </c>
    </row>
    <row r="48">
      <c r="A48" s="18" t="inlineStr">
        <is>
          <t>6. OUTPUT – Nøkkeltal</t>
        </is>
      </c>
      <c r="B48" s="19" t="n"/>
      <c r="C48" s="19" t="n"/>
      <c r="D48" s="19" t="n"/>
      <c r="E48" s="19" t="n"/>
      <c r="F48" s="19" t="n"/>
    </row>
    <row r="49">
      <c r="A49" s="25" t="inlineStr">
        <is>
          <t>DB pr dekar u/tilskot</t>
        </is>
      </c>
      <c r="B49" s="26" t="inlineStr">
        <is>
          <t>Utrekna</t>
        </is>
      </c>
      <c r="C49" s="39">
        <f>IF((C7)=0,0,(C26)/(C7))</f>
        <v/>
      </c>
      <c r="D49" s="28" t="inlineStr">
        <is>
          <t>kr</t>
        </is>
      </c>
      <c r="E49" s="29" t="inlineStr">
        <is>
          <t>DB pr dekar u/tilskot = Dekningsbidrag (DB) utan tilskot [C26] ÷ Tal dekar [C7]</t>
        </is>
      </c>
      <c r="F49" s="30" t="inlineStr">
        <is>
          <t>=IF((C7)=0,0,(C26)/(C7))</t>
        </is>
      </c>
    </row>
    <row r="50">
      <c r="A50" s="25" t="inlineStr">
        <is>
          <t>DB pr dekar m/tilskot</t>
        </is>
      </c>
      <c r="B50" s="26" t="inlineStr">
        <is>
          <t>Utrekna</t>
        </is>
      </c>
      <c r="C50" s="39">
        <f>IF((C7)=0,0,(C27)/(C7))</f>
        <v/>
      </c>
      <c r="D50" s="28" t="inlineStr">
        <is>
          <t>kr</t>
        </is>
      </c>
      <c r="E50" s="29" t="inlineStr">
        <is>
          <t>DB pr dekar m/tilskot = Dekningsbidrag (DB) med tilskot [C27] ÷ Tal dekar [C7]</t>
        </is>
      </c>
      <c r="F50" s="30" t="inlineStr">
        <is>
          <t>=IF((C7)=0,0,(C27)/(C7))</t>
        </is>
      </c>
    </row>
    <row r="51">
      <c r="A51" s="25" t="inlineStr">
        <is>
          <t>Oppnådd pris pr kg</t>
        </is>
      </c>
      <c r="B51" s="26" t="inlineStr">
        <is>
          <t>Utrekna</t>
        </is>
      </c>
      <c r="C51" s="39">
        <f>IF((C9)=0,0,(C12)/(C9))</f>
        <v/>
      </c>
      <c r="D51" s="28" t="inlineStr">
        <is>
          <t>kr</t>
        </is>
      </c>
      <c r="E51" s="29" t="inlineStr">
        <is>
          <t>Oppnådd pris pr kg = Sal av potet [C12] ÷ Seld mengd [C9]</t>
        </is>
      </c>
      <c r="F51" s="30" t="inlineStr">
        <is>
          <t>=IF((C9)=0,0,(C12)/(C9))</t>
        </is>
      </c>
    </row>
    <row r="52">
      <c r="A52" s="25" t="inlineStr">
        <is>
          <t>Avling pr dekar (kg)</t>
        </is>
      </c>
      <c r="B52" s="26" t="inlineStr">
        <is>
          <t>Utrekna</t>
        </is>
      </c>
      <c r="C52" s="37">
        <f>IF((C7)=0,0,(C8)/(C7))</f>
        <v/>
      </c>
      <c r="D52" s="28" t="inlineStr">
        <is>
          <t>kg</t>
        </is>
      </c>
      <c r="E52" s="29" t="inlineStr">
        <is>
          <t>Avling pr dekar (kg) = Avling totalt [C8] ÷ Tal dekar [C7]</t>
        </is>
      </c>
      <c r="F52" s="30" t="inlineStr">
        <is>
          <t>=IF((C7)=0,0,(C8)/(C7))</t>
        </is>
      </c>
    </row>
    <row r="53">
      <c r="A53" s="25" t="inlineStr">
        <is>
          <t>Maskinkostnader pr dekar</t>
        </is>
      </c>
      <c r="B53" s="26" t="inlineStr">
        <is>
          <t>Utrekna</t>
        </is>
      </c>
      <c r="C53" s="39">
        <f>IF((C7)=0,0,(C22)/(C7))</f>
        <v/>
      </c>
      <c r="D53" s="28" t="inlineStr">
        <is>
          <t>kr</t>
        </is>
      </c>
      <c r="E53" s="29" t="inlineStr">
        <is>
          <t>Maskinkostnader pr dekar = Maskinkostnader fordelt [C22] ÷ Tal dekar [C7]</t>
        </is>
      </c>
      <c r="F53" s="30" t="inlineStr">
        <is>
          <t>=IF((C7)=0,0,(C22)/(C7))</t>
        </is>
      </c>
    </row>
    <row r="54">
      <c r="A54" s="25" t="inlineStr">
        <is>
          <t>DB etter maskinkostnader pr dekar</t>
        </is>
      </c>
      <c r="B54" s="26" t="inlineStr">
        <is>
          <t>Utrekna</t>
        </is>
      </c>
      <c r="C54" s="39">
        <f>IF((C7)=0,0,(C28)/(C7))</f>
        <v/>
      </c>
      <c r="D54" s="28" t="inlineStr">
        <is>
          <t>kr</t>
        </is>
      </c>
      <c r="E54" s="29" t="inlineStr">
        <is>
          <t>DB etter maskinkostnader pr dekar = DB m/tilskot etter maskinkostnader [C28] ÷ Tal dekar [C7]</t>
        </is>
      </c>
      <c r="F54" s="30" t="inlineStr">
        <is>
          <t>=IF((C7)=0,0,(C28)/(C7))</t>
        </is>
      </c>
    </row>
  </sheetData>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F56"/>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0" customWidth="1" min="1" max="1"/>
    <col width="34" customWidth="1" min="2" max="2"/>
    <col width="16" customWidth="1" min="3" max="3"/>
    <col width="10" customWidth="1" min="4" max="4"/>
    <col width="78" customWidth="1" min="5" max="5"/>
    <col width="46" customWidth="1" min="6" max="6"/>
  </cols>
  <sheetData>
    <row r="1" ht="22" customHeight="1">
      <c r="A1" s="1" t="inlineStr">
        <is>
          <t>Agurk i veksthus  –  driftsgrein 3300-3330</t>
        </is>
      </c>
    </row>
    <row r="2">
      <c r="A2" s="7" t="inlineStr">
        <is>
          <t>Veksthusagurk (driftsgrein 3300–3330). Nøkkeltal pr m².</t>
        </is>
      </c>
    </row>
    <row r="3">
      <c r="A3" s="8" t="inlineStr">
        <is>
          <t>Fargekodar:  blå tal på gul botn = input (skal fyllast inn)   ·   svart = formel   ·   grøn = lenkje frå anna ark.   Alle kronebeløp er positive (inntekt og kostnad).</t>
        </is>
      </c>
    </row>
    <row r="5">
      <c r="A5" s="17" t="inlineStr">
        <is>
          <t>Post</t>
        </is>
      </c>
      <c r="B5" s="17" t="inlineStr">
        <is>
          <t>Kjelde / Tripletex-konto</t>
        </is>
      </c>
      <c r="C5" s="17" t="inlineStr">
        <is>
          <t>Verdi</t>
        </is>
      </c>
      <c r="D5" s="17" t="inlineStr">
        <is>
          <t>Eining</t>
        </is>
      </c>
      <c r="E5" s="17" t="inlineStr">
        <is>
          <t>Formel forklart (korleis outputen blir rekna)</t>
        </is>
      </c>
      <c r="F5" s="17" t="inlineStr">
        <is>
          <t>Excel-formel</t>
        </is>
      </c>
    </row>
    <row r="6">
      <c r="A6" s="18" t="inlineStr">
        <is>
          <t>1. INPUT – Produksjonsdata</t>
        </is>
      </c>
      <c r="B6" s="19" t="n"/>
      <c r="C6" s="19" t="n"/>
      <c r="D6" s="19" t="n"/>
      <c r="E6" s="19" t="n"/>
      <c r="F6" s="19" t="n"/>
    </row>
    <row r="7">
      <c r="A7" s="20" t="inlineStr">
        <is>
          <t>Tal m²</t>
        </is>
      </c>
      <c r="B7" s="24" t="inlineStr">
        <is>
          <t>Produksjonstabell / søknad om produksjonstilskot</t>
        </is>
      </c>
      <c r="C7" s="31" t="n">
        <v>2000</v>
      </c>
      <c r="D7" s="12" t="inlineStr">
        <is>
          <t>m2</t>
        </is>
      </c>
      <c r="E7" s="24" t="inlineStr">
        <is>
          <t>Input. Hentast frå: Produksjonstabell / søknad om produksjonstilskot.</t>
        </is>
      </c>
      <c r="F7" s="32" t="n"/>
    </row>
    <row r="8">
      <c r="A8" s="20" t="inlineStr">
        <is>
          <t>Avling totalt</t>
        </is>
      </c>
      <c r="B8" s="24" t="inlineStr">
        <is>
          <t>Produksjonstabell / avlingsregistrering</t>
        </is>
      </c>
      <c r="C8" s="31" t="n">
        <v>100000</v>
      </c>
      <c r="D8" s="12" t="inlineStr">
        <is>
          <t>kg</t>
        </is>
      </c>
      <c r="E8" s="24" t="inlineStr">
        <is>
          <t>Input. Hentast frå: Produksjonstabell / avlingsregistrering.</t>
        </is>
      </c>
      <c r="F8" s="32" t="n"/>
    </row>
    <row r="9">
      <c r="A9" s="20" t="inlineStr">
        <is>
          <t>Seld mengd</t>
        </is>
      </c>
      <c r="B9" s="24" t="inlineStr">
        <is>
          <t>Mengde 1/2 på salskonto (3019)</t>
        </is>
      </c>
      <c r="C9" s="31" t="n">
        <v>98000</v>
      </c>
      <c r="D9" s="12" t="inlineStr">
        <is>
          <t>kg</t>
        </is>
      </c>
      <c r="E9" s="24" t="inlineStr">
        <is>
          <t>Input. Hentast frå: Mengde 1/2 på salskonto (3019).</t>
        </is>
      </c>
      <c r="F9" s="32" t="n"/>
    </row>
    <row r="10">
      <c r="A10" s="18" t="inlineStr">
        <is>
          <t>2. INPUT – Rekneskapstal (kr) frå saldobalansen etter korrigeringar</t>
        </is>
      </c>
      <c r="B10" s="19" t="n"/>
      <c r="C10" s="19" t="n"/>
      <c r="D10" s="19" t="n"/>
      <c r="E10" s="19" t="n"/>
      <c r="F10" s="19" t="n"/>
    </row>
    <row r="11">
      <c r="A11" s="20" t="inlineStr">
        <is>
          <t>Produksjonstilskot fordelt på produksjonen</t>
        </is>
      </c>
      <c r="B11" s="24" t="inlineStr">
        <is>
          <t>34xx (ikkje 344x avløysartilskot)</t>
        </is>
      </c>
      <c r="C11" s="31" t="n">
        <v>0</v>
      </c>
      <c r="D11" s="12" t="inlineStr">
        <is>
          <t>kr</t>
        </is>
      </c>
      <c r="E11" s="24" t="inlineStr">
        <is>
          <t>Input. Hentast frå: 34xx (ikkje 344x avløysartilskot).</t>
        </is>
      </c>
      <c r="F11" s="32" t="n"/>
    </row>
    <row r="12">
      <c r="A12" s="20" t="inlineStr">
        <is>
          <t>Sal av agurk</t>
        </is>
      </c>
      <c r="B12" s="24" t="inlineStr">
        <is>
          <t>3019</t>
        </is>
      </c>
      <c r="C12" s="31" t="n">
        <v>1274000</v>
      </c>
      <c r="D12" s="12" t="inlineStr">
        <is>
          <t>kr</t>
        </is>
      </c>
      <c r="E12" s="24" t="inlineStr">
        <is>
          <t>Input. Hentast frå: 3019.</t>
        </is>
      </c>
      <c r="F12" s="32" t="n"/>
    </row>
    <row r="13">
      <c r="A13" s="20" t="inlineStr">
        <is>
          <t>Beholdningsendring ferdigvarer (+ = auke)</t>
        </is>
      </c>
      <c r="B13" s="24" t="inlineStr">
        <is>
          <t>4290-4298 (forteikn snudd)</t>
        </is>
      </c>
      <c r="C13" s="31" t="n">
        <v>0</v>
      </c>
      <c r="D13" s="12" t="inlineStr">
        <is>
          <t>kr</t>
        </is>
      </c>
      <c r="E13" s="24" t="inlineStr">
        <is>
          <t>Input. Hentast frå: 4290-4298 (forteikn snudd).</t>
        </is>
      </c>
      <c r="F13" s="32" t="n"/>
    </row>
    <row r="14">
      <c r="A14" s="20" t="inlineStr">
        <is>
          <t>Andre inntekter</t>
        </is>
      </c>
      <c r="B14" s="24" t="inlineStr">
        <is>
          <t>andre 3xxx kopla til produksjonen</t>
        </is>
      </c>
      <c r="C14" s="31" t="n">
        <v>0</v>
      </c>
      <c r="D14" s="12" t="inlineStr">
        <is>
          <t>kr</t>
        </is>
      </c>
      <c r="E14" s="24" t="inlineStr">
        <is>
          <t>Input. Hentast frå: andre 3xxx kopla til produksjonen.</t>
        </is>
      </c>
      <c r="F14" s="32" t="n"/>
    </row>
    <row r="15">
      <c r="A15" s="18" t="inlineStr">
        <is>
          <t>Variable kostnader</t>
        </is>
      </c>
      <c r="B15" s="19" t="n"/>
      <c r="C15" s="19" t="n"/>
      <c r="D15" s="19" t="n"/>
      <c r="E15" s="19" t="n"/>
      <c r="F15" s="19" t="n"/>
    </row>
    <row r="16">
      <c r="A16" s="20" t="inlineStr">
        <is>
          <t>Gjødsel og kalk</t>
        </is>
      </c>
      <c r="B16" s="24" t="inlineStr">
        <is>
          <t>4050, 4057, 4095</t>
        </is>
      </c>
      <c r="C16" s="31" t="n">
        <v>60000</v>
      </c>
      <c r="D16" s="12" t="inlineStr">
        <is>
          <t>kr</t>
        </is>
      </c>
      <c r="E16" s="24" t="inlineStr">
        <is>
          <t>Input. Hentast frå: 4050, 4057, 4095.</t>
        </is>
      </c>
      <c r="F16" s="32" t="n"/>
    </row>
    <row r="17">
      <c r="A17" s="20" t="inlineStr">
        <is>
          <t>Plantevernmiddel</t>
        </is>
      </c>
      <c r="B17" s="24" t="inlineStr">
        <is>
          <t>4110, 4111, 4191</t>
        </is>
      </c>
      <c r="C17" s="31" t="n">
        <v>15000</v>
      </c>
      <c r="D17" s="12" t="inlineStr">
        <is>
          <t>kr</t>
        </is>
      </c>
      <c r="E17" s="24" t="inlineStr">
        <is>
          <t>Input. Hentast frå: 4110, 4111, 4191.</t>
        </is>
      </c>
      <c r="F17" s="32" t="n"/>
    </row>
    <row r="18">
      <c r="A18" s="20" t="inlineStr">
        <is>
          <t>Frø / planter</t>
        </is>
      </c>
      <c r="B18" s="24" t="inlineStr">
        <is>
          <t>4019</t>
        </is>
      </c>
      <c r="C18" s="31" t="n">
        <v>90000</v>
      </c>
      <c r="D18" s="12" t="inlineStr">
        <is>
          <t>kr</t>
        </is>
      </c>
      <c r="E18" s="24" t="inlineStr">
        <is>
          <t>Input. Hentast frå: 4019.</t>
        </is>
      </c>
      <c r="F18" s="32" t="n"/>
    </row>
    <row r="19">
      <c r="A19" s="20" t="inlineStr">
        <is>
          <t>Emballasje</t>
        </is>
      </c>
      <c r="B19" s="24" t="inlineStr">
        <is>
          <t>4140-4142, 4194</t>
        </is>
      </c>
      <c r="C19" s="31" t="n">
        <v>70000</v>
      </c>
      <c r="D19" s="12" t="inlineStr">
        <is>
          <t>kr</t>
        </is>
      </c>
      <c r="E19" s="24" t="inlineStr">
        <is>
          <t>Input. Hentast frå: 4140-4142, 4194.</t>
        </is>
      </c>
      <c r="F19" s="32" t="n"/>
    </row>
    <row r="20">
      <c r="A20" s="20" t="inlineStr">
        <is>
          <t>Brensel, energi (veksthus)</t>
        </is>
      </c>
      <c r="B20" s="24" t="inlineStr">
        <is>
          <t>6200-6249 når kopla til produksjonen</t>
        </is>
      </c>
      <c r="C20" s="31" t="n">
        <v>380000</v>
      </c>
      <c r="D20" s="12" t="inlineStr">
        <is>
          <t>kr</t>
        </is>
      </c>
      <c r="E20" s="24" t="inlineStr">
        <is>
          <t>Input. Hentast frå: 6200-6249 når kopla til produksjonen.</t>
        </is>
      </c>
      <c r="F20" s="32" t="n"/>
    </row>
    <row r="21">
      <c r="A21" s="20" t="inlineStr">
        <is>
          <t>Andre variable kostnader</t>
        </is>
      </c>
      <c r="B21" s="24" t="inlineStr">
        <is>
          <t>4540-4549, 4160 + andre 4xxx</t>
        </is>
      </c>
      <c r="C21" s="31" t="n">
        <v>120000</v>
      </c>
      <c r="D21" s="12" t="inlineStr">
        <is>
          <t>kr</t>
        </is>
      </c>
      <c r="E21" s="24" t="inlineStr">
        <is>
          <t>Input. Hentast frå: 4540-4549, 4160 + andre 4xxx.</t>
        </is>
      </c>
      <c r="F21" s="32" t="n"/>
    </row>
    <row r="22">
      <c r="A22" s="18" t="inlineStr">
        <is>
          <t>3. INPUT – Fordelte faste kostnader (lenka frå arket «Faste kostnader»)</t>
        </is>
      </c>
      <c r="B22" s="19" t="n"/>
      <c r="C22" s="19" t="n"/>
      <c r="D22" s="19" t="n"/>
      <c r="E22" s="19" t="n"/>
      <c r="F22" s="19" t="n"/>
    </row>
    <row r="23">
      <c r="A23" s="20" t="inlineStr">
        <is>
          <t>Maskinkostnader fordelt</t>
        </is>
      </c>
      <c r="B23" s="21" t="inlineStr">
        <is>
          <t>Lenkje frå anna ark</t>
        </is>
      </c>
      <c r="C23" s="13">
        <f>'Faste kostnader'!C41</f>
        <v/>
      </c>
      <c r="D23" s="12" t="inlineStr">
        <is>
          <t>kr</t>
        </is>
      </c>
      <c r="E23" s="23" t="inlineStr">
        <is>
          <t>Maskinkostnader fordelt = Maskinkostnader – Agurk [Faste kostnader!C41]</t>
        </is>
      </c>
      <c r="F23" s="24" t="inlineStr">
        <is>
          <t>='Faste kostnader'!C41</t>
        </is>
      </c>
    </row>
    <row r="24">
      <c r="A24" s="18" t="inlineStr">
        <is>
          <t>4. UTREKNING – Totalt for produksjonen</t>
        </is>
      </c>
      <c r="B24" s="19" t="n"/>
      <c r="C24" s="19" t="n"/>
      <c r="D24" s="19" t="n"/>
      <c r="E24" s="19" t="n"/>
      <c r="F24" s="19" t="n"/>
    </row>
    <row r="25">
      <c r="A25" s="20" t="inlineStr">
        <is>
          <t>Produksjonsinntekter i alt</t>
        </is>
      </c>
      <c r="B25" s="21" t="inlineStr">
        <is>
          <t>Utrekna</t>
        </is>
      </c>
      <c r="C25" s="22">
        <f>C12+C13+C14</f>
        <v/>
      </c>
      <c r="D25" s="12" t="inlineStr">
        <is>
          <t>kr</t>
        </is>
      </c>
      <c r="E25" s="23" t="inlineStr">
        <is>
          <t>Produksjonsinntekter i alt = Sal av agurk [C12] + Beholdningsendring ferdigvarer (+ = auke) [C13] + Andre inntekter [C14]</t>
        </is>
      </c>
      <c r="F25" s="24" t="inlineStr">
        <is>
          <t>=C12+C13+C14</t>
        </is>
      </c>
    </row>
    <row r="26">
      <c r="A26" s="20" t="inlineStr">
        <is>
          <t>Variable kostnader i alt</t>
        </is>
      </c>
      <c r="B26" s="21" t="inlineStr">
        <is>
          <t>Utrekna</t>
        </is>
      </c>
      <c r="C26" s="22">
        <f>C16+C17+C18+C19+C20+C21</f>
        <v/>
      </c>
      <c r="D26" s="12" t="inlineStr">
        <is>
          <t>kr</t>
        </is>
      </c>
      <c r="E26" s="23" t="inlineStr">
        <is>
          <t>Variable kostnader i alt = Gjødsel og kalk [C16] + Plantevernmiddel [C17] + Frø / planter [C18] + Emballasje [C19] + Brensel, energi (veksthus) [C20] + Andre variable kostnader [C21]</t>
        </is>
      </c>
      <c r="F26" s="24" t="inlineStr">
        <is>
          <t>=C16+C17+C18+C19+C20+C21</t>
        </is>
      </c>
    </row>
    <row r="27">
      <c r="A27" s="25" t="inlineStr">
        <is>
          <t>Dekningsbidrag (DB) utan tilskot</t>
        </is>
      </c>
      <c r="B27" s="26" t="inlineStr">
        <is>
          <t>Utrekna</t>
        </is>
      </c>
      <c r="C27" s="27">
        <f>C25-C26</f>
        <v/>
      </c>
      <c r="D27" s="28" t="inlineStr">
        <is>
          <t>kr</t>
        </is>
      </c>
      <c r="E27" s="29" t="inlineStr">
        <is>
          <t>Dekningsbidrag (DB) utan tilskot = Produksjonsinntekter i alt [C25] − Variable kostnader i alt [C26]</t>
        </is>
      </c>
      <c r="F27" s="30" t="inlineStr">
        <is>
          <t>=C25-C26</t>
        </is>
      </c>
    </row>
    <row r="28">
      <c r="A28" s="25" t="inlineStr">
        <is>
          <t>Dekningsbidrag (DB) med tilskot</t>
        </is>
      </c>
      <c r="B28" s="26" t="inlineStr">
        <is>
          <t>Utrekna</t>
        </is>
      </c>
      <c r="C28" s="27">
        <f>C27+C11</f>
        <v/>
      </c>
      <c r="D28" s="28" t="inlineStr">
        <is>
          <t>kr</t>
        </is>
      </c>
      <c r="E28" s="29" t="inlineStr">
        <is>
          <t>Dekningsbidrag (DB) med tilskot = Dekningsbidrag (DB) utan tilskot [C27] + Produksjonstilskot fordelt på produksjonen [C11]</t>
        </is>
      </c>
      <c r="F28" s="30" t="inlineStr">
        <is>
          <t>=C27+C11</t>
        </is>
      </c>
    </row>
    <row r="29">
      <c r="A29" s="20" t="inlineStr">
        <is>
          <t>DB m/tilskot etter maskinkostnader</t>
        </is>
      </c>
      <c r="B29" s="21" t="inlineStr">
        <is>
          <t>Utrekna</t>
        </is>
      </c>
      <c r="C29" s="22">
        <f>C28-C23</f>
        <v/>
      </c>
      <c r="D29" s="12" t="inlineStr">
        <is>
          <t>kr</t>
        </is>
      </c>
      <c r="E29" s="23" t="inlineStr">
        <is>
          <t>DB m/tilskot etter maskinkostnader = Dekningsbidrag (DB) med tilskot [C28] − Maskinkostnader fordelt [C23]</t>
        </is>
      </c>
      <c r="F29" s="24" t="inlineStr">
        <is>
          <t>=C28-C23</t>
        </is>
      </c>
    </row>
    <row r="30">
      <c r="A30" s="18" t="inlineStr">
        <is>
          <t>5. OUTPUT – Per eining (pr m²)</t>
        </is>
      </c>
      <c r="B30" s="19" t="n"/>
      <c r="C30" s="19" t="n"/>
      <c r="D30" s="19" t="n"/>
      <c r="E30" s="19" t="n"/>
      <c r="F30" s="19" t="n"/>
    </row>
    <row r="31">
      <c r="A31" s="18" t="inlineStr">
        <is>
          <t>Produksjonsinntekter pr m²</t>
        </is>
      </c>
      <c r="B31" s="19" t="n"/>
      <c r="C31" s="19" t="n"/>
      <c r="D31" s="19" t="n"/>
      <c r="E31" s="19" t="n"/>
      <c r="F31" s="19" t="n"/>
    </row>
    <row r="32">
      <c r="A32" s="20" t="inlineStr">
        <is>
          <t>Sal av agurk</t>
        </is>
      </c>
      <c r="B32" s="21" t="inlineStr">
        <is>
          <t>Utrekna</t>
        </is>
      </c>
      <c r="C32" s="38">
        <f>IF((C7)=0,0,(C12)/(C7))</f>
        <v/>
      </c>
      <c r="D32" s="12" t="inlineStr">
        <is>
          <t>kr</t>
        </is>
      </c>
      <c r="E32" s="23" t="inlineStr">
        <is>
          <t>Sal av agurk = Sal av agurk [C12] ÷ Tal m² [C7]</t>
        </is>
      </c>
      <c r="F32" s="24" t="inlineStr">
        <is>
          <t>=IF((C7)=0,0,(C12)/(C7))</t>
        </is>
      </c>
    </row>
    <row r="33">
      <c r="A33" s="20" t="inlineStr">
        <is>
          <t>Beholdningsendring ferdigvarer (+ = auke)</t>
        </is>
      </c>
      <c r="B33" s="21" t="inlineStr">
        <is>
          <t>Utrekna</t>
        </is>
      </c>
      <c r="C33" s="38">
        <f>IF((C7)=0,0,(C13)/(C7))</f>
        <v/>
      </c>
      <c r="D33" s="12" t="inlineStr">
        <is>
          <t>kr</t>
        </is>
      </c>
      <c r="E33" s="23" t="inlineStr">
        <is>
          <t>Beholdningsendring ferdigvarer (+ = auke) = Beholdningsendring ferdigvarer (+ = auke) [C13] ÷ Tal m² [C7]</t>
        </is>
      </c>
      <c r="F33" s="24" t="inlineStr">
        <is>
          <t>=IF((C7)=0,0,(C13)/(C7))</t>
        </is>
      </c>
    </row>
    <row r="34">
      <c r="A34" s="20" t="inlineStr">
        <is>
          <t>Andre inntekter</t>
        </is>
      </c>
      <c r="B34" s="21" t="inlineStr">
        <is>
          <t>Utrekna</t>
        </is>
      </c>
      <c r="C34" s="38">
        <f>IF((C7)=0,0,(C14)/(C7))</f>
        <v/>
      </c>
      <c r="D34" s="12" t="inlineStr">
        <is>
          <t>kr</t>
        </is>
      </c>
      <c r="E34" s="23" t="inlineStr">
        <is>
          <t>Andre inntekter = Andre inntekter [C14] ÷ Tal m² [C7]</t>
        </is>
      </c>
      <c r="F34" s="24" t="inlineStr">
        <is>
          <t>=IF((C7)=0,0,(C14)/(C7))</t>
        </is>
      </c>
    </row>
    <row r="35">
      <c r="A35" s="20" t="inlineStr">
        <is>
          <t>Produksjonsinntekter i alt</t>
        </is>
      </c>
      <c r="B35" s="21" t="inlineStr">
        <is>
          <t>Utrekna</t>
        </is>
      </c>
      <c r="C35" s="38">
        <f>IF((C7)=0,0,(C25)/(C7))</f>
        <v/>
      </c>
      <c r="D35" s="12" t="inlineStr">
        <is>
          <t>kr</t>
        </is>
      </c>
      <c r="E35" s="23" t="inlineStr">
        <is>
          <t>Produksjonsinntekter i alt = Produksjonsinntekter i alt [C25] ÷ Tal m² [C7]</t>
        </is>
      </c>
      <c r="F35" s="24" t="inlineStr">
        <is>
          <t>=IF((C7)=0,0,(C25)/(C7))</t>
        </is>
      </c>
    </row>
    <row r="36">
      <c r="A36" s="18" t="inlineStr">
        <is>
          <t>Variable kostnader pr m²</t>
        </is>
      </c>
      <c r="B36" s="19" t="n"/>
      <c r="C36" s="19" t="n"/>
      <c r="D36" s="19" t="n"/>
      <c r="E36" s="19" t="n"/>
      <c r="F36" s="19" t="n"/>
    </row>
    <row r="37">
      <c r="A37" s="20" t="inlineStr">
        <is>
          <t>Gjødsel og kalk</t>
        </is>
      </c>
      <c r="B37" s="21" t="inlineStr">
        <is>
          <t>Utrekna</t>
        </is>
      </c>
      <c r="C37" s="38">
        <f>IF((C7)=0,0,(C16)/(C7))</f>
        <v/>
      </c>
      <c r="D37" s="12" t="inlineStr">
        <is>
          <t>kr</t>
        </is>
      </c>
      <c r="E37" s="23" t="inlineStr">
        <is>
          <t>Gjødsel og kalk = Gjødsel og kalk [C16] ÷ Tal m² [C7]</t>
        </is>
      </c>
      <c r="F37" s="24" t="inlineStr">
        <is>
          <t>=IF((C7)=0,0,(C16)/(C7))</t>
        </is>
      </c>
    </row>
    <row r="38">
      <c r="A38" s="20" t="inlineStr">
        <is>
          <t>Plantevernmiddel</t>
        </is>
      </c>
      <c r="B38" s="21" t="inlineStr">
        <is>
          <t>Utrekna</t>
        </is>
      </c>
      <c r="C38" s="38">
        <f>IF((C7)=0,0,(C17)/(C7))</f>
        <v/>
      </c>
      <c r="D38" s="12" t="inlineStr">
        <is>
          <t>kr</t>
        </is>
      </c>
      <c r="E38" s="23" t="inlineStr">
        <is>
          <t>Plantevernmiddel = Plantevernmiddel [C17] ÷ Tal m² [C7]</t>
        </is>
      </c>
      <c r="F38" s="24" t="inlineStr">
        <is>
          <t>=IF((C7)=0,0,(C17)/(C7))</t>
        </is>
      </c>
    </row>
    <row r="39">
      <c r="A39" s="20" t="inlineStr">
        <is>
          <t>Frø / planter</t>
        </is>
      </c>
      <c r="B39" s="21" t="inlineStr">
        <is>
          <t>Utrekna</t>
        </is>
      </c>
      <c r="C39" s="38">
        <f>IF((C7)=0,0,(C18)/(C7))</f>
        <v/>
      </c>
      <c r="D39" s="12" t="inlineStr">
        <is>
          <t>kr</t>
        </is>
      </c>
      <c r="E39" s="23" t="inlineStr">
        <is>
          <t>Frø / planter = Frø / planter [C18] ÷ Tal m² [C7]</t>
        </is>
      </c>
      <c r="F39" s="24" t="inlineStr">
        <is>
          <t>=IF((C7)=0,0,(C18)/(C7))</t>
        </is>
      </c>
    </row>
    <row r="40">
      <c r="A40" s="20" t="inlineStr">
        <is>
          <t>Emballasje</t>
        </is>
      </c>
      <c r="B40" s="21" t="inlineStr">
        <is>
          <t>Utrekna</t>
        </is>
      </c>
      <c r="C40" s="38">
        <f>IF((C7)=0,0,(C19)/(C7))</f>
        <v/>
      </c>
      <c r="D40" s="12" t="inlineStr">
        <is>
          <t>kr</t>
        </is>
      </c>
      <c r="E40" s="23" t="inlineStr">
        <is>
          <t>Emballasje = Emballasje [C19] ÷ Tal m² [C7]</t>
        </is>
      </c>
      <c r="F40" s="24" t="inlineStr">
        <is>
          <t>=IF((C7)=0,0,(C19)/(C7))</t>
        </is>
      </c>
    </row>
    <row r="41">
      <c r="A41" s="20" t="inlineStr">
        <is>
          <t>Brensel, energi (veksthus)</t>
        </is>
      </c>
      <c r="B41" s="21" t="inlineStr">
        <is>
          <t>Utrekna</t>
        </is>
      </c>
      <c r="C41" s="38">
        <f>IF((C7)=0,0,(C20)/(C7))</f>
        <v/>
      </c>
      <c r="D41" s="12" t="inlineStr">
        <is>
          <t>kr</t>
        </is>
      </c>
      <c r="E41" s="23" t="inlineStr">
        <is>
          <t>Brensel, energi (veksthus) = Brensel, energi (veksthus) [C20] ÷ Tal m² [C7]</t>
        </is>
      </c>
      <c r="F41" s="24" t="inlineStr">
        <is>
          <t>=IF((C7)=0,0,(C20)/(C7))</t>
        </is>
      </c>
    </row>
    <row r="42">
      <c r="A42" s="20" t="inlineStr">
        <is>
          <t>Andre variable kostnader</t>
        </is>
      </c>
      <c r="B42" s="21" t="inlineStr">
        <is>
          <t>Utrekna</t>
        </is>
      </c>
      <c r="C42" s="38">
        <f>IF((C7)=0,0,(C21)/(C7))</f>
        <v/>
      </c>
      <c r="D42" s="12" t="inlineStr">
        <is>
          <t>kr</t>
        </is>
      </c>
      <c r="E42" s="23" t="inlineStr">
        <is>
          <t>Andre variable kostnader = Andre variable kostnader [C21] ÷ Tal m² [C7]</t>
        </is>
      </c>
      <c r="F42" s="24" t="inlineStr">
        <is>
          <t>=IF((C7)=0,0,(C21)/(C7))</t>
        </is>
      </c>
    </row>
    <row r="43">
      <c r="A43" s="20" t="inlineStr">
        <is>
          <t>Sum variable kostnader</t>
        </is>
      </c>
      <c r="B43" s="21" t="inlineStr">
        <is>
          <t>Utrekna</t>
        </is>
      </c>
      <c r="C43" s="38">
        <f>IF((C7)=0,0,(C26)/(C7))</f>
        <v/>
      </c>
      <c r="D43" s="12" t="inlineStr">
        <is>
          <t>kr</t>
        </is>
      </c>
      <c r="E43" s="23" t="inlineStr">
        <is>
          <t>Sum variable kostnader = Variable kostnader i alt [C26] ÷ Tal m² [C7]</t>
        </is>
      </c>
      <c r="F43" s="24" t="inlineStr">
        <is>
          <t>=IF((C7)=0,0,(C26)/(C7))</t>
        </is>
      </c>
    </row>
    <row r="44">
      <c r="A44" s="18" t="inlineStr">
        <is>
          <t>Resultat pr m²</t>
        </is>
      </c>
      <c r="B44" s="19" t="n"/>
      <c r="C44" s="19" t="n"/>
      <c r="D44" s="19" t="n"/>
      <c r="E44" s="19" t="n"/>
      <c r="F44" s="19" t="n"/>
    </row>
    <row r="45">
      <c r="A45" s="20" t="inlineStr">
        <is>
          <t>DB utan tilskot</t>
        </is>
      </c>
      <c r="B45" s="21" t="inlineStr">
        <is>
          <t>Utrekna</t>
        </is>
      </c>
      <c r="C45" s="38">
        <f>IF((C7)=0,0,(C27)/(C7))</f>
        <v/>
      </c>
      <c r="D45" s="12" t="inlineStr">
        <is>
          <t>kr</t>
        </is>
      </c>
      <c r="E45" s="23" t="inlineStr">
        <is>
          <t>DB utan tilskot = Dekningsbidrag (DB) utan tilskot [C27] ÷ Tal m² [C7]</t>
        </is>
      </c>
      <c r="F45" s="24" t="inlineStr">
        <is>
          <t>=IF((C7)=0,0,(C27)/(C7))</t>
        </is>
      </c>
    </row>
    <row r="46">
      <c r="A46" s="20" t="inlineStr">
        <is>
          <t>Tilskot</t>
        </is>
      </c>
      <c r="B46" s="21" t="inlineStr">
        <is>
          <t>Utrekna</t>
        </is>
      </c>
      <c r="C46" s="38">
        <f>IF((C7)=0,0,(C11)/(C7))</f>
        <v/>
      </c>
      <c r="D46" s="12" t="inlineStr">
        <is>
          <t>kr</t>
        </is>
      </c>
      <c r="E46" s="23" t="inlineStr">
        <is>
          <t>Tilskot = Produksjonstilskot fordelt på produksjonen [C11] ÷ Tal m² [C7]</t>
        </is>
      </c>
      <c r="F46" s="24" t="inlineStr">
        <is>
          <t>=IF((C7)=0,0,(C11)/(C7))</t>
        </is>
      </c>
    </row>
    <row r="47">
      <c r="A47" s="20" t="inlineStr">
        <is>
          <t>DB med tilskot</t>
        </is>
      </c>
      <c r="B47" s="21" t="inlineStr">
        <is>
          <t>Utrekna</t>
        </is>
      </c>
      <c r="C47" s="38">
        <f>IF((C7)=0,0,(C28)/(C7))</f>
        <v/>
      </c>
      <c r="D47" s="12" t="inlineStr">
        <is>
          <t>kr</t>
        </is>
      </c>
      <c r="E47" s="23" t="inlineStr">
        <is>
          <t>DB med tilskot = Dekningsbidrag (DB) med tilskot [C28] ÷ Tal m² [C7]</t>
        </is>
      </c>
      <c r="F47" s="24" t="inlineStr">
        <is>
          <t>=IF((C7)=0,0,(C28)/(C7))</t>
        </is>
      </c>
    </row>
    <row r="48">
      <c r="A48" s="20" t="inlineStr">
        <is>
          <t>Maskinkostnader</t>
        </is>
      </c>
      <c r="B48" s="21" t="inlineStr">
        <is>
          <t>Utrekna</t>
        </is>
      </c>
      <c r="C48" s="38">
        <f>IF((C7)=0,0,(C23)/(C7))</f>
        <v/>
      </c>
      <c r="D48" s="12" t="inlineStr">
        <is>
          <t>kr</t>
        </is>
      </c>
      <c r="E48" s="23" t="inlineStr">
        <is>
          <t>Maskinkostnader = Maskinkostnader fordelt [C23] ÷ Tal m² [C7]</t>
        </is>
      </c>
      <c r="F48" s="24" t="inlineStr">
        <is>
          <t>=IF((C7)=0,0,(C23)/(C7))</t>
        </is>
      </c>
    </row>
    <row r="49">
      <c r="A49" s="20" t="inlineStr">
        <is>
          <t>DB m/tilskot etter maskinkostnader</t>
        </is>
      </c>
      <c r="B49" s="21" t="inlineStr">
        <is>
          <t>Utrekna</t>
        </is>
      </c>
      <c r="C49" s="38">
        <f>IF((C7)=0,0,(C29)/(C7))</f>
        <v/>
      </c>
      <c r="D49" s="12" t="inlineStr">
        <is>
          <t>kr</t>
        </is>
      </c>
      <c r="E49" s="23" t="inlineStr">
        <is>
          <t>DB m/tilskot etter maskinkostnader = DB m/tilskot etter maskinkostnader [C29] ÷ Tal m² [C7]</t>
        </is>
      </c>
      <c r="F49" s="24" t="inlineStr">
        <is>
          <t>=IF((C7)=0,0,(C29)/(C7))</t>
        </is>
      </c>
    </row>
    <row r="50">
      <c r="A50" s="18" t="inlineStr">
        <is>
          <t>6. OUTPUT – Nøkkeltal</t>
        </is>
      </c>
      <c r="B50" s="19" t="n"/>
      <c r="C50" s="19" t="n"/>
      <c r="D50" s="19" t="n"/>
      <c r="E50" s="19" t="n"/>
      <c r="F50" s="19" t="n"/>
    </row>
    <row r="51">
      <c r="A51" s="25" t="inlineStr">
        <is>
          <t>DB pr m² u/tilskot</t>
        </is>
      </c>
      <c r="B51" s="26" t="inlineStr">
        <is>
          <t>Utrekna</t>
        </is>
      </c>
      <c r="C51" s="39">
        <f>IF((C7)=0,0,(C27)/(C7))</f>
        <v/>
      </c>
      <c r="D51" s="28" t="inlineStr">
        <is>
          <t>kr</t>
        </is>
      </c>
      <c r="E51" s="29" t="inlineStr">
        <is>
          <t>DB pr m² u/tilskot = Dekningsbidrag (DB) utan tilskot [C27] ÷ Tal m² [C7]</t>
        </is>
      </c>
      <c r="F51" s="30" t="inlineStr">
        <is>
          <t>=IF((C7)=0,0,(C27)/(C7))</t>
        </is>
      </c>
    </row>
    <row r="52">
      <c r="A52" s="25" t="inlineStr">
        <is>
          <t>DB pr m² m/tilskot</t>
        </is>
      </c>
      <c r="B52" s="26" t="inlineStr">
        <is>
          <t>Utrekna</t>
        </is>
      </c>
      <c r="C52" s="39">
        <f>IF((C7)=0,0,(C28)/(C7))</f>
        <v/>
      </c>
      <c r="D52" s="28" t="inlineStr">
        <is>
          <t>kr</t>
        </is>
      </c>
      <c r="E52" s="29" t="inlineStr">
        <is>
          <t>DB pr m² m/tilskot = Dekningsbidrag (DB) med tilskot [C28] ÷ Tal m² [C7]</t>
        </is>
      </c>
      <c r="F52" s="30" t="inlineStr">
        <is>
          <t>=IF((C7)=0,0,(C28)/(C7))</t>
        </is>
      </c>
    </row>
    <row r="53">
      <c r="A53" s="25" t="inlineStr">
        <is>
          <t>Oppnådd pris pr kg</t>
        </is>
      </c>
      <c r="B53" s="26" t="inlineStr">
        <is>
          <t>Utrekna</t>
        </is>
      </c>
      <c r="C53" s="39">
        <f>IF((C9)=0,0,(C12)/(C9))</f>
        <v/>
      </c>
      <c r="D53" s="28" t="inlineStr">
        <is>
          <t>kr</t>
        </is>
      </c>
      <c r="E53" s="29" t="inlineStr">
        <is>
          <t>Oppnådd pris pr kg = Sal av agurk [C12] ÷ Seld mengd [C9]</t>
        </is>
      </c>
      <c r="F53" s="30" t="inlineStr">
        <is>
          <t>=IF((C9)=0,0,(C12)/(C9))</t>
        </is>
      </c>
    </row>
    <row r="54">
      <c r="A54" s="25" t="inlineStr">
        <is>
          <t>Avling pr m² (kg)</t>
        </is>
      </c>
      <c r="B54" s="26" t="inlineStr">
        <is>
          <t>Utrekna</t>
        </is>
      </c>
      <c r="C54" s="37">
        <f>IF((C7)=0,0,(C8)/(C7))</f>
        <v/>
      </c>
      <c r="D54" s="28" t="inlineStr">
        <is>
          <t>kg</t>
        </is>
      </c>
      <c r="E54" s="29" t="inlineStr">
        <is>
          <t>Avling pr m² (kg) = Avling totalt [C8] ÷ Tal m² [C7]</t>
        </is>
      </c>
      <c r="F54" s="30" t="inlineStr">
        <is>
          <t>=IF((C7)=0,0,(C8)/(C7))</t>
        </is>
      </c>
    </row>
    <row r="55">
      <c r="A55" s="25" t="inlineStr">
        <is>
          <t>Maskinkostnader pr m²</t>
        </is>
      </c>
      <c r="B55" s="26" t="inlineStr">
        <is>
          <t>Utrekna</t>
        </is>
      </c>
      <c r="C55" s="39">
        <f>IF((C7)=0,0,(C23)/(C7))</f>
        <v/>
      </c>
      <c r="D55" s="28" t="inlineStr">
        <is>
          <t>kr</t>
        </is>
      </c>
      <c r="E55" s="29" t="inlineStr">
        <is>
          <t>Maskinkostnader pr m² = Maskinkostnader fordelt [C23] ÷ Tal m² [C7]</t>
        </is>
      </c>
      <c r="F55" s="30" t="inlineStr">
        <is>
          <t>=IF((C7)=0,0,(C23)/(C7))</t>
        </is>
      </c>
    </row>
    <row r="56">
      <c r="A56" s="25" t="inlineStr">
        <is>
          <t>DB etter maskinkostnader pr m²</t>
        </is>
      </c>
      <c r="B56" s="26" t="inlineStr">
        <is>
          <t>Utrekna</t>
        </is>
      </c>
      <c r="C56" s="39">
        <f>IF((C7)=0,0,(C29)/(C7))</f>
        <v/>
      </c>
      <c r="D56" s="28" t="inlineStr">
        <is>
          <t>kr</t>
        </is>
      </c>
      <c r="E56" s="29" t="inlineStr">
        <is>
          <t>DB etter maskinkostnader pr m² = DB m/tilskot etter maskinkostnader [C29] ÷ Tal m² [C7]</t>
        </is>
      </c>
      <c r="F56" s="30" t="inlineStr">
        <is>
          <t>=IF((C7)=0,0,(C29)/(C7))</t>
        </is>
      </c>
    </row>
  </sheetData>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F56"/>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0" customWidth="1" min="1" max="1"/>
    <col width="34" customWidth="1" min="2" max="2"/>
    <col width="16" customWidth="1" min="3" max="3"/>
    <col width="10" customWidth="1" min="4" max="4"/>
    <col width="78" customWidth="1" min="5" max="5"/>
    <col width="46" customWidth="1" min="6" max="6"/>
  </cols>
  <sheetData>
    <row r="1" ht="22" customHeight="1">
      <c r="A1" s="1" t="inlineStr">
        <is>
          <t>Tomat i veksthus  –  driftsgrein 3400-3490</t>
        </is>
      </c>
    </row>
    <row r="2">
      <c r="A2" s="7" t="inlineStr">
        <is>
          <t>Veksthustomat (driftsgrein 3400–3490). Nøkkeltal pr m².</t>
        </is>
      </c>
    </row>
    <row r="3">
      <c r="A3" s="8" t="inlineStr">
        <is>
          <t>Fargekodar:  blå tal på gul botn = input (skal fyllast inn)   ·   svart = formel   ·   grøn = lenkje frå anna ark.   Alle kronebeløp er positive (inntekt og kostnad).</t>
        </is>
      </c>
    </row>
    <row r="5">
      <c r="A5" s="17" t="inlineStr">
        <is>
          <t>Post</t>
        </is>
      </c>
      <c r="B5" s="17" t="inlineStr">
        <is>
          <t>Kjelde / Tripletex-konto</t>
        </is>
      </c>
      <c r="C5" s="17" t="inlineStr">
        <is>
          <t>Verdi</t>
        </is>
      </c>
      <c r="D5" s="17" t="inlineStr">
        <is>
          <t>Eining</t>
        </is>
      </c>
      <c r="E5" s="17" t="inlineStr">
        <is>
          <t>Formel forklart (korleis outputen blir rekna)</t>
        </is>
      </c>
      <c r="F5" s="17" t="inlineStr">
        <is>
          <t>Excel-formel</t>
        </is>
      </c>
    </row>
    <row r="6">
      <c r="A6" s="18" t="inlineStr">
        <is>
          <t>1. INPUT – Produksjonsdata</t>
        </is>
      </c>
      <c r="B6" s="19" t="n"/>
      <c r="C6" s="19" t="n"/>
      <c r="D6" s="19" t="n"/>
      <c r="E6" s="19" t="n"/>
      <c r="F6" s="19" t="n"/>
    </row>
    <row r="7">
      <c r="A7" s="20" t="inlineStr">
        <is>
          <t>Tal m²</t>
        </is>
      </c>
      <c r="B7" s="24" t="inlineStr">
        <is>
          <t>Produksjonstabell / søknad om produksjonstilskot</t>
        </is>
      </c>
      <c r="C7" s="31" t="n">
        <v>2500</v>
      </c>
      <c r="D7" s="12" t="inlineStr">
        <is>
          <t>m2</t>
        </is>
      </c>
      <c r="E7" s="24" t="inlineStr">
        <is>
          <t>Input. Hentast frå: Produksjonstabell / søknad om produksjonstilskot.</t>
        </is>
      </c>
      <c r="F7" s="32" t="n"/>
    </row>
    <row r="8">
      <c r="A8" s="20" t="inlineStr">
        <is>
          <t>Avling totalt</t>
        </is>
      </c>
      <c r="B8" s="24" t="inlineStr">
        <is>
          <t>Produksjonstabell / avlingsregistrering</t>
        </is>
      </c>
      <c r="C8" s="31" t="n">
        <v>110000</v>
      </c>
      <c r="D8" s="12" t="inlineStr">
        <is>
          <t>kg</t>
        </is>
      </c>
      <c r="E8" s="24" t="inlineStr">
        <is>
          <t>Input. Hentast frå: Produksjonstabell / avlingsregistrering.</t>
        </is>
      </c>
      <c r="F8" s="32" t="n"/>
    </row>
    <row r="9">
      <c r="A9" s="20" t="inlineStr">
        <is>
          <t>Seld mengd</t>
        </is>
      </c>
      <c r="B9" s="24" t="inlineStr">
        <is>
          <t>Mengde 1/2 på salskonto (3018)</t>
        </is>
      </c>
      <c r="C9" s="31" t="n">
        <v>108000</v>
      </c>
      <c r="D9" s="12" t="inlineStr">
        <is>
          <t>kg</t>
        </is>
      </c>
      <c r="E9" s="24" t="inlineStr">
        <is>
          <t>Input. Hentast frå: Mengde 1/2 på salskonto (3018).</t>
        </is>
      </c>
      <c r="F9" s="32" t="n"/>
    </row>
    <row r="10">
      <c r="A10" s="18" t="inlineStr">
        <is>
          <t>2. INPUT – Rekneskapstal (kr) frå saldobalansen etter korrigeringar</t>
        </is>
      </c>
      <c r="B10" s="19" t="n"/>
      <c r="C10" s="19" t="n"/>
      <c r="D10" s="19" t="n"/>
      <c r="E10" s="19" t="n"/>
      <c r="F10" s="19" t="n"/>
    </row>
    <row r="11">
      <c r="A11" s="20" t="inlineStr">
        <is>
          <t>Produksjonstilskot fordelt på produksjonen</t>
        </is>
      </c>
      <c r="B11" s="24" t="inlineStr">
        <is>
          <t>34xx (ikkje 344x avløysartilskot)</t>
        </is>
      </c>
      <c r="C11" s="31" t="n">
        <v>0</v>
      </c>
      <c r="D11" s="12" t="inlineStr">
        <is>
          <t>kr</t>
        </is>
      </c>
      <c r="E11" s="24" t="inlineStr">
        <is>
          <t>Input. Hentast frå: 34xx (ikkje 344x avløysartilskot).</t>
        </is>
      </c>
      <c r="F11" s="32" t="n"/>
    </row>
    <row r="12">
      <c r="A12" s="20" t="inlineStr">
        <is>
          <t>Sal av tomat</t>
        </is>
      </c>
      <c r="B12" s="24" t="inlineStr">
        <is>
          <t>3018</t>
        </is>
      </c>
      <c r="C12" s="31" t="n">
        <v>1512000</v>
      </c>
      <c r="D12" s="12" t="inlineStr">
        <is>
          <t>kr</t>
        </is>
      </c>
      <c r="E12" s="24" t="inlineStr">
        <is>
          <t>Input. Hentast frå: 3018.</t>
        </is>
      </c>
      <c r="F12" s="32" t="n"/>
    </row>
    <row r="13">
      <c r="A13" s="20" t="inlineStr">
        <is>
          <t>Beholdningsendring ferdigvarer (+ = auke)</t>
        </is>
      </c>
      <c r="B13" s="24" t="inlineStr">
        <is>
          <t>4290-4298 (forteikn snudd)</t>
        </is>
      </c>
      <c r="C13" s="31" t="n">
        <v>0</v>
      </c>
      <c r="D13" s="12" t="inlineStr">
        <is>
          <t>kr</t>
        </is>
      </c>
      <c r="E13" s="24" t="inlineStr">
        <is>
          <t>Input. Hentast frå: 4290-4298 (forteikn snudd).</t>
        </is>
      </c>
      <c r="F13" s="32" t="n"/>
    </row>
    <row r="14">
      <c r="A14" s="20" t="inlineStr">
        <is>
          <t>Andre inntekter</t>
        </is>
      </c>
      <c r="B14" s="24" t="inlineStr">
        <is>
          <t>andre 3xxx kopla til produksjonen</t>
        </is>
      </c>
      <c r="C14" s="31" t="n">
        <v>0</v>
      </c>
      <c r="D14" s="12" t="inlineStr">
        <is>
          <t>kr</t>
        </is>
      </c>
      <c r="E14" s="24" t="inlineStr">
        <is>
          <t>Input. Hentast frå: andre 3xxx kopla til produksjonen.</t>
        </is>
      </c>
      <c r="F14" s="32" t="n"/>
    </row>
    <row r="15">
      <c r="A15" s="18" t="inlineStr">
        <is>
          <t>Variable kostnader</t>
        </is>
      </c>
      <c r="B15" s="19" t="n"/>
      <c r="C15" s="19" t="n"/>
      <c r="D15" s="19" t="n"/>
      <c r="E15" s="19" t="n"/>
      <c r="F15" s="19" t="n"/>
    </row>
    <row r="16">
      <c r="A16" s="20" t="inlineStr">
        <is>
          <t>Gjødsel og kalk</t>
        </is>
      </c>
      <c r="B16" s="24" t="inlineStr">
        <is>
          <t>4050, 4057, 4095</t>
        </is>
      </c>
      <c r="C16" s="31" t="n">
        <v>70000</v>
      </c>
      <c r="D16" s="12" t="inlineStr">
        <is>
          <t>kr</t>
        </is>
      </c>
      <c r="E16" s="24" t="inlineStr">
        <is>
          <t>Input. Hentast frå: 4050, 4057, 4095.</t>
        </is>
      </c>
      <c r="F16" s="32" t="n"/>
    </row>
    <row r="17">
      <c r="A17" s="20" t="inlineStr">
        <is>
          <t>Plantevernmiddel</t>
        </is>
      </c>
      <c r="B17" s="24" t="inlineStr">
        <is>
          <t>4110, 4111, 4191</t>
        </is>
      </c>
      <c r="C17" s="31" t="n">
        <v>20000</v>
      </c>
      <c r="D17" s="12" t="inlineStr">
        <is>
          <t>kr</t>
        </is>
      </c>
      <c r="E17" s="24" t="inlineStr">
        <is>
          <t>Input. Hentast frå: 4110, 4111, 4191.</t>
        </is>
      </c>
      <c r="F17" s="32" t="n"/>
    </row>
    <row r="18">
      <c r="A18" s="20" t="inlineStr">
        <is>
          <t>Frø / planter</t>
        </is>
      </c>
      <c r="B18" s="24" t="inlineStr">
        <is>
          <t>4018</t>
        </is>
      </c>
      <c r="C18" s="31" t="n">
        <v>110000</v>
      </c>
      <c r="D18" s="12" t="inlineStr">
        <is>
          <t>kr</t>
        </is>
      </c>
      <c r="E18" s="24" t="inlineStr">
        <is>
          <t>Input. Hentast frå: 4018.</t>
        </is>
      </c>
      <c r="F18" s="32" t="n"/>
    </row>
    <row r="19">
      <c r="A19" s="20" t="inlineStr">
        <is>
          <t>Emballasje</t>
        </is>
      </c>
      <c r="B19" s="24" t="inlineStr">
        <is>
          <t>4140-4142, 4194</t>
        </is>
      </c>
      <c r="C19" s="31" t="n">
        <v>80000</v>
      </c>
      <c r="D19" s="12" t="inlineStr">
        <is>
          <t>kr</t>
        </is>
      </c>
      <c r="E19" s="24" t="inlineStr">
        <is>
          <t>Input. Hentast frå: 4140-4142, 4194.</t>
        </is>
      </c>
      <c r="F19" s="32" t="n"/>
    </row>
    <row r="20">
      <c r="A20" s="20" t="inlineStr">
        <is>
          <t>Brensel, energi (veksthus)</t>
        </is>
      </c>
      <c r="B20" s="24" t="inlineStr">
        <is>
          <t>6200-6249 når kopla til produksjonen</t>
        </is>
      </c>
      <c r="C20" s="31" t="n">
        <v>520000</v>
      </c>
      <c r="D20" s="12" t="inlineStr">
        <is>
          <t>kr</t>
        </is>
      </c>
      <c r="E20" s="24" t="inlineStr">
        <is>
          <t>Input. Hentast frå: 6200-6249 når kopla til produksjonen.</t>
        </is>
      </c>
      <c r="F20" s="32" t="n"/>
    </row>
    <row r="21">
      <c r="A21" s="20" t="inlineStr">
        <is>
          <t>Andre variable kostnader</t>
        </is>
      </c>
      <c r="B21" s="24" t="inlineStr">
        <is>
          <t>4540-4549, 4160 + andre 4xxx</t>
        </is>
      </c>
      <c r="C21" s="31" t="n">
        <v>150000</v>
      </c>
      <c r="D21" s="12" t="inlineStr">
        <is>
          <t>kr</t>
        </is>
      </c>
      <c r="E21" s="24" t="inlineStr">
        <is>
          <t>Input. Hentast frå: 4540-4549, 4160 + andre 4xxx.</t>
        </is>
      </c>
      <c r="F21" s="32" t="n"/>
    </row>
    <row r="22">
      <c r="A22" s="18" t="inlineStr">
        <is>
          <t>3. INPUT – Fordelte faste kostnader (lenka frå arket «Faste kostnader»)</t>
        </is>
      </c>
      <c r="B22" s="19" t="n"/>
      <c r="C22" s="19" t="n"/>
      <c r="D22" s="19" t="n"/>
      <c r="E22" s="19" t="n"/>
      <c r="F22" s="19" t="n"/>
    </row>
    <row r="23">
      <c r="A23" s="20" t="inlineStr">
        <is>
          <t>Maskinkostnader fordelt</t>
        </is>
      </c>
      <c r="B23" s="21" t="inlineStr">
        <is>
          <t>Lenkje frå anna ark</t>
        </is>
      </c>
      <c r="C23" s="13">
        <f>'Faste kostnader'!C42</f>
        <v/>
      </c>
      <c r="D23" s="12" t="inlineStr">
        <is>
          <t>kr</t>
        </is>
      </c>
      <c r="E23" s="23" t="inlineStr">
        <is>
          <t>Maskinkostnader fordelt = Maskinkostnader – Tomat [Faste kostnader!C42]</t>
        </is>
      </c>
      <c r="F23" s="24" t="inlineStr">
        <is>
          <t>='Faste kostnader'!C42</t>
        </is>
      </c>
    </row>
    <row r="24">
      <c r="A24" s="18" t="inlineStr">
        <is>
          <t>4. UTREKNING – Totalt for produksjonen</t>
        </is>
      </c>
      <c r="B24" s="19" t="n"/>
      <c r="C24" s="19" t="n"/>
      <c r="D24" s="19" t="n"/>
      <c r="E24" s="19" t="n"/>
      <c r="F24" s="19" t="n"/>
    </row>
    <row r="25">
      <c r="A25" s="20" t="inlineStr">
        <is>
          <t>Produksjonsinntekter i alt</t>
        </is>
      </c>
      <c r="B25" s="21" t="inlineStr">
        <is>
          <t>Utrekna</t>
        </is>
      </c>
      <c r="C25" s="22">
        <f>C12+C13+C14</f>
        <v/>
      </c>
      <c r="D25" s="12" t="inlineStr">
        <is>
          <t>kr</t>
        </is>
      </c>
      <c r="E25" s="23" t="inlineStr">
        <is>
          <t>Produksjonsinntekter i alt = Sal av tomat [C12] + Beholdningsendring ferdigvarer (+ = auke) [C13] + Andre inntekter [C14]</t>
        </is>
      </c>
      <c r="F25" s="24" t="inlineStr">
        <is>
          <t>=C12+C13+C14</t>
        </is>
      </c>
    </row>
    <row r="26">
      <c r="A26" s="20" t="inlineStr">
        <is>
          <t>Variable kostnader i alt</t>
        </is>
      </c>
      <c r="B26" s="21" t="inlineStr">
        <is>
          <t>Utrekna</t>
        </is>
      </c>
      <c r="C26" s="22">
        <f>C16+C17+C18+C19+C20+C21</f>
        <v/>
      </c>
      <c r="D26" s="12" t="inlineStr">
        <is>
          <t>kr</t>
        </is>
      </c>
      <c r="E26" s="23" t="inlineStr">
        <is>
          <t>Variable kostnader i alt = Gjødsel og kalk [C16] + Plantevernmiddel [C17] + Frø / planter [C18] + Emballasje [C19] + Brensel, energi (veksthus) [C20] + Andre variable kostnader [C21]</t>
        </is>
      </c>
      <c r="F26" s="24" t="inlineStr">
        <is>
          <t>=C16+C17+C18+C19+C20+C21</t>
        </is>
      </c>
    </row>
    <row r="27">
      <c r="A27" s="25" t="inlineStr">
        <is>
          <t>Dekningsbidrag (DB) utan tilskot</t>
        </is>
      </c>
      <c r="B27" s="26" t="inlineStr">
        <is>
          <t>Utrekna</t>
        </is>
      </c>
      <c r="C27" s="27">
        <f>C25-C26</f>
        <v/>
      </c>
      <c r="D27" s="28" t="inlineStr">
        <is>
          <t>kr</t>
        </is>
      </c>
      <c r="E27" s="29" t="inlineStr">
        <is>
          <t>Dekningsbidrag (DB) utan tilskot = Produksjonsinntekter i alt [C25] − Variable kostnader i alt [C26]</t>
        </is>
      </c>
      <c r="F27" s="30" t="inlineStr">
        <is>
          <t>=C25-C26</t>
        </is>
      </c>
    </row>
    <row r="28">
      <c r="A28" s="25" t="inlineStr">
        <is>
          <t>Dekningsbidrag (DB) med tilskot</t>
        </is>
      </c>
      <c r="B28" s="26" t="inlineStr">
        <is>
          <t>Utrekna</t>
        </is>
      </c>
      <c r="C28" s="27">
        <f>C27+C11</f>
        <v/>
      </c>
      <c r="D28" s="28" t="inlineStr">
        <is>
          <t>kr</t>
        </is>
      </c>
      <c r="E28" s="29" t="inlineStr">
        <is>
          <t>Dekningsbidrag (DB) med tilskot = Dekningsbidrag (DB) utan tilskot [C27] + Produksjonstilskot fordelt på produksjonen [C11]</t>
        </is>
      </c>
      <c r="F28" s="30" t="inlineStr">
        <is>
          <t>=C27+C11</t>
        </is>
      </c>
    </row>
    <row r="29">
      <c r="A29" s="20" t="inlineStr">
        <is>
          <t>DB m/tilskot etter maskinkostnader</t>
        </is>
      </c>
      <c r="B29" s="21" t="inlineStr">
        <is>
          <t>Utrekna</t>
        </is>
      </c>
      <c r="C29" s="22">
        <f>C28-C23</f>
        <v/>
      </c>
      <c r="D29" s="12" t="inlineStr">
        <is>
          <t>kr</t>
        </is>
      </c>
      <c r="E29" s="23" t="inlineStr">
        <is>
          <t>DB m/tilskot etter maskinkostnader = Dekningsbidrag (DB) med tilskot [C28] − Maskinkostnader fordelt [C23]</t>
        </is>
      </c>
      <c r="F29" s="24" t="inlineStr">
        <is>
          <t>=C28-C23</t>
        </is>
      </c>
    </row>
    <row r="30">
      <c r="A30" s="18" t="inlineStr">
        <is>
          <t>5. OUTPUT – Per eining (pr m²)</t>
        </is>
      </c>
      <c r="B30" s="19" t="n"/>
      <c r="C30" s="19" t="n"/>
      <c r="D30" s="19" t="n"/>
      <c r="E30" s="19" t="n"/>
      <c r="F30" s="19" t="n"/>
    </row>
    <row r="31">
      <c r="A31" s="18" t="inlineStr">
        <is>
          <t>Produksjonsinntekter pr m²</t>
        </is>
      </c>
      <c r="B31" s="19" t="n"/>
      <c r="C31" s="19" t="n"/>
      <c r="D31" s="19" t="n"/>
      <c r="E31" s="19" t="n"/>
      <c r="F31" s="19" t="n"/>
    </row>
    <row r="32">
      <c r="A32" s="20" t="inlineStr">
        <is>
          <t>Sal av tomat</t>
        </is>
      </c>
      <c r="B32" s="21" t="inlineStr">
        <is>
          <t>Utrekna</t>
        </is>
      </c>
      <c r="C32" s="38">
        <f>IF((C7)=0,0,(C12)/(C7))</f>
        <v/>
      </c>
      <c r="D32" s="12" t="inlineStr">
        <is>
          <t>kr</t>
        </is>
      </c>
      <c r="E32" s="23" t="inlineStr">
        <is>
          <t>Sal av tomat = Sal av tomat [C12] ÷ Tal m² [C7]</t>
        </is>
      </c>
      <c r="F32" s="24" t="inlineStr">
        <is>
          <t>=IF((C7)=0,0,(C12)/(C7))</t>
        </is>
      </c>
    </row>
    <row r="33">
      <c r="A33" s="20" t="inlineStr">
        <is>
          <t>Beholdningsendring ferdigvarer (+ = auke)</t>
        </is>
      </c>
      <c r="B33" s="21" t="inlineStr">
        <is>
          <t>Utrekna</t>
        </is>
      </c>
      <c r="C33" s="38">
        <f>IF((C7)=0,0,(C13)/(C7))</f>
        <v/>
      </c>
      <c r="D33" s="12" t="inlineStr">
        <is>
          <t>kr</t>
        </is>
      </c>
      <c r="E33" s="23" t="inlineStr">
        <is>
          <t>Beholdningsendring ferdigvarer (+ = auke) = Beholdningsendring ferdigvarer (+ = auke) [C13] ÷ Tal m² [C7]</t>
        </is>
      </c>
      <c r="F33" s="24" t="inlineStr">
        <is>
          <t>=IF((C7)=0,0,(C13)/(C7))</t>
        </is>
      </c>
    </row>
    <row r="34">
      <c r="A34" s="20" t="inlineStr">
        <is>
          <t>Andre inntekter</t>
        </is>
      </c>
      <c r="B34" s="21" t="inlineStr">
        <is>
          <t>Utrekna</t>
        </is>
      </c>
      <c r="C34" s="38">
        <f>IF((C7)=0,0,(C14)/(C7))</f>
        <v/>
      </c>
      <c r="D34" s="12" t="inlineStr">
        <is>
          <t>kr</t>
        </is>
      </c>
      <c r="E34" s="23" t="inlineStr">
        <is>
          <t>Andre inntekter = Andre inntekter [C14] ÷ Tal m² [C7]</t>
        </is>
      </c>
      <c r="F34" s="24" t="inlineStr">
        <is>
          <t>=IF((C7)=0,0,(C14)/(C7))</t>
        </is>
      </c>
    </row>
    <row r="35">
      <c r="A35" s="20" t="inlineStr">
        <is>
          <t>Produksjonsinntekter i alt</t>
        </is>
      </c>
      <c r="B35" s="21" t="inlineStr">
        <is>
          <t>Utrekna</t>
        </is>
      </c>
      <c r="C35" s="38">
        <f>IF((C7)=0,0,(C25)/(C7))</f>
        <v/>
      </c>
      <c r="D35" s="12" t="inlineStr">
        <is>
          <t>kr</t>
        </is>
      </c>
      <c r="E35" s="23" t="inlineStr">
        <is>
          <t>Produksjonsinntekter i alt = Produksjonsinntekter i alt [C25] ÷ Tal m² [C7]</t>
        </is>
      </c>
      <c r="F35" s="24" t="inlineStr">
        <is>
          <t>=IF((C7)=0,0,(C25)/(C7))</t>
        </is>
      </c>
    </row>
    <row r="36">
      <c r="A36" s="18" t="inlineStr">
        <is>
          <t>Variable kostnader pr m²</t>
        </is>
      </c>
      <c r="B36" s="19" t="n"/>
      <c r="C36" s="19" t="n"/>
      <c r="D36" s="19" t="n"/>
      <c r="E36" s="19" t="n"/>
      <c r="F36" s="19" t="n"/>
    </row>
    <row r="37">
      <c r="A37" s="20" t="inlineStr">
        <is>
          <t>Gjødsel og kalk</t>
        </is>
      </c>
      <c r="B37" s="21" t="inlineStr">
        <is>
          <t>Utrekna</t>
        </is>
      </c>
      <c r="C37" s="38">
        <f>IF((C7)=0,0,(C16)/(C7))</f>
        <v/>
      </c>
      <c r="D37" s="12" t="inlineStr">
        <is>
          <t>kr</t>
        </is>
      </c>
      <c r="E37" s="23" t="inlineStr">
        <is>
          <t>Gjødsel og kalk = Gjødsel og kalk [C16] ÷ Tal m² [C7]</t>
        </is>
      </c>
      <c r="F37" s="24" t="inlineStr">
        <is>
          <t>=IF((C7)=0,0,(C16)/(C7))</t>
        </is>
      </c>
    </row>
    <row r="38">
      <c r="A38" s="20" t="inlineStr">
        <is>
          <t>Plantevernmiddel</t>
        </is>
      </c>
      <c r="B38" s="21" t="inlineStr">
        <is>
          <t>Utrekna</t>
        </is>
      </c>
      <c r="C38" s="38">
        <f>IF((C7)=0,0,(C17)/(C7))</f>
        <v/>
      </c>
      <c r="D38" s="12" t="inlineStr">
        <is>
          <t>kr</t>
        </is>
      </c>
      <c r="E38" s="23" t="inlineStr">
        <is>
          <t>Plantevernmiddel = Plantevernmiddel [C17] ÷ Tal m² [C7]</t>
        </is>
      </c>
      <c r="F38" s="24" t="inlineStr">
        <is>
          <t>=IF((C7)=0,0,(C17)/(C7))</t>
        </is>
      </c>
    </row>
    <row r="39">
      <c r="A39" s="20" t="inlineStr">
        <is>
          <t>Frø / planter</t>
        </is>
      </c>
      <c r="B39" s="21" t="inlineStr">
        <is>
          <t>Utrekna</t>
        </is>
      </c>
      <c r="C39" s="38">
        <f>IF((C7)=0,0,(C18)/(C7))</f>
        <v/>
      </c>
      <c r="D39" s="12" t="inlineStr">
        <is>
          <t>kr</t>
        </is>
      </c>
      <c r="E39" s="23" t="inlineStr">
        <is>
          <t>Frø / planter = Frø / planter [C18] ÷ Tal m² [C7]</t>
        </is>
      </c>
      <c r="F39" s="24" t="inlineStr">
        <is>
          <t>=IF((C7)=0,0,(C18)/(C7))</t>
        </is>
      </c>
    </row>
    <row r="40">
      <c r="A40" s="20" t="inlineStr">
        <is>
          <t>Emballasje</t>
        </is>
      </c>
      <c r="B40" s="21" t="inlineStr">
        <is>
          <t>Utrekna</t>
        </is>
      </c>
      <c r="C40" s="38">
        <f>IF((C7)=0,0,(C19)/(C7))</f>
        <v/>
      </c>
      <c r="D40" s="12" t="inlineStr">
        <is>
          <t>kr</t>
        </is>
      </c>
      <c r="E40" s="23" t="inlineStr">
        <is>
          <t>Emballasje = Emballasje [C19] ÷ Tal m² [C7]</t>
        </is>
      </c>
      <c r="F40" s="24" t="inlineStr">
        <is>
          <t>=IF((C7)=0,0,(C19)/(C7))</t>
        </is>
      </c>
    </row>
    <row r="41">
      <c r="A41" s="20" t="inlineStr">
        <is>
          <t>Brensel, energi (veksthus)</t>
        </is>
      </c>
      <c r="B41" s="21" t="inlineStr">
        <is>
          <t>Utrekna</t>
        </is>
      </c>
      <c r="C41" s="38">
        <f>IF((C7)=0,0,(C20)/(C7))</f>
        <v/>
      </c>
      <c r="D41" s="12" t="inlineStr">
        <is>
          <t>kr</t>
        </is>
      </c>
      <c r="E41" s="23" t="inlineStr">
        <is>
          <t>Brensel, energi (veksthus) = Brensel, energi (veksthus) [C20] ÷ Tal m² [C7]</t>
        </is>
      </c>
      <c r="F41" s="24" t="inlineStr">
        <is>
          <t>=IF((C7)=0,0,(C20)/(C7))</t>
        </is>
      </c>
    </row>
    <row r="42">
      <c r="A42" s="20" t="inlineStr">
        <is>
          <t>Andre variable kostnader</t>
        </is>
      </c>
      <c r="B42" s="21" t="inlineStr">
        <is>
          <t>Utrekna</t>
        </is>
      </c>
      <c r="C42" s="38">
        <f>IF((C7)=0,0,(C21)/(C7))</f>
        <v/>
      </c>
      <c r="D42" s="12" t="inlineStr">
        <is>
          <t>kr</t>
        </is>
      </c>
      <c r="E42" s="23" t="inlineStr">
        <is>
          <t>Andre variable kostnader = Andre variable kostnader [C21] ÷ Tal m² [C7]</t>
        </is>
      </c>
      <c r="F42" s="24" t="inlineStr">
        <is>
          <t>=IF((C7)=0,0,(C21)/(C7))</t>
        </is>
      </c>
    </row>
    <row r="43">
      <c r="A43" s="20" t="inlineStr">
        <is>
          <t>Sum variable kostnader</t>
        </is>
      </c>
      <c r="B43" s="21" t="inlineStr">
        <is>
          <t>Utrekna</t>
        </is>
      </c>
      <c r="C43" s="38">
        <f>IF((C7)=0,0,(C26)/(C7))</f>
        <v/>
      </c>
      <c r="D43" s="12" t="inlineStr">
        <is>
          <t>kr</t>
        </is>
      </c>
      <c r="E43" s="23" t="inlineStr">
        <is>
          <t>Sum variable kostnader = Variable kostnader i alt [C26] ÷ Tal m² [C7]</t>
        </is>
      </c>
      <c r="F43" s="24" t="inlineStr">
        <is>
          <t>=IF((C7)=0,0,(C26)/(C7))</t>
        </is>
      </c>
    </row>
    <row r="44">
      <c r="A44" s="18" t="inlineStr">
        <is>
          <t>Resultat pr m²</t>
        </is>
      </c>
      <c r="B44" s="19" t="n"/>
      <c r="C44" s="19" t="n"/>
      <c r="D44" s="19" t="n"/>
      <c r="E44" s="19" t="n"/>
      <c r="F44" s="19" t="n"/>
    </row>
    <row r="45">
      <c r="A45" s="20" t="inlineStr">
        <is>
          <t>DB utan tilskot</t>
        </is>
      </c>
      <c r="B45" s="21" t="inlineStr">
        <is>
          <t>Utrekna</t>
        </is>
      </c>
      <c r="C45" s="38">
        <f>IF((C7)=0,0,(C27)/(C7))</f>
        <v/>
      </c>
      <c r="D45" s="12" t="inlineStr">
        <is>
          <t>kr</t>
        </is>
      </c>
      <c r="E45" s="23" t="inlineStr">
        <is>
          <t>DB utan tilskot = Dekningsbidrag (DB) utan tilskot [C27] ÷ Tal m² [C7]</t>
        </is>
      </c>
      <c r="F45" s="24" t="inlineStr">
        <is>
          <t>=IF((C7)=0,0,(C27)/(C7))</t>
        </is>
      </c>
    </row>
    <row r="46">
      <c r="A46" s="20" t="inlineStr">
        <is>
          <t>Tilskot</t>
        </is>
      </c>
      <c r="B46" s="21" t="inlineStr">
        <is>
          <t>Utrekna</t>
        </is>
      </c>
      <c r="C46" s="38">
        <f>IF((C7)=0,0,(C11)/(C7))</f>
        <v/>
      </c>
      <c r="D46" s="12" t="inlineStr">
        <is>
          <t>kr</t>
        </is>
      </c>
      <c r="E46" s="23" t="inlineStr">
        <is>
          <t>Tilskot = Produksjonstilskot fordelt på produksjonen [C11] ÷ Tal m² [C7]</t>
        </is>
      </c>
      <c r="F46" s="24" t="inlineStr">
        <is>
          <t>=IF((C7)=0,0,(C11)/(C7))</t>
        </is>
      </c>
    </row>
    <row r="47">
      <c r="A47" s="20" t="inlineStr">
        <is>
          <t>DB med tilskot</t>
        </is>
      </c>
      <c r="B47" s="21" t="inlineStr">
        <is>
          <t>Utrekna</t>
        </is>
      </c>
      <c r="C47" s="38">
        <f>IF((C7)=0,0,(C28)/(C7))</f>
        <v/>
      </c>
      <c r="D47" s="12" t="inlineStr">
        <is>
          <t>kr</t>
        </is>
      </c>
      <c r="E47" s="23" t="inlineStr">
        <is>
          <t>DB med tilskot = Dekningsbidrag (DB) med tilskot [C28] ÷ Tal m² [C7]</t>
        </is>
      </c>
      <c r="F47" s="24" t="inlineStr">
        <is>
          <t>=IF((C7)=0,0,(C28)/(C7))</t>
        </is>
      </c>
    </row>
    <row r="48">
      <c r="A48" s="20" t="inlineStr">
        <is>
          <t>Maskinkostnader</t>
        </is>
      </c>
      <c r="B48" s="21" t="inlineStr">
        <is>
          <t>Utrekna</t>
        </is>
      </c>
      <c r="C48" s="38">
        <f>IF((C7)=0,0,(C23)/(C7))</f>
        <v/>
      </c>
      <c r="D48" s="12" t="inlineStr">
        <is>
          <t>kr</t>
        </is>
      </c>
      <c r="E48" s="23" t="inlineStr">
        <is>
          <t>Maskinkostnader = Maskinkostnader fordelt [C23] ÷ Tal m² [C7]</t>
        </is>
      </c>
      <c r="F48" s="24" t="inlineStr">
        <is>
          <t>=IF((C7)=0,0,(C23)/(C7))</t>
        </is>
      </c>
    </row>
    <row r="49">
      <c r="A49" s="20" t="inlineStr">
        <is>
          <t>DB m/tilskot etter maskinkostnader</t>
        </is>
      </c>
      <c r="B49" s="21" t="inlineStr">
        <is>
          <t>Utrekna</t>
        </is>
      </c>
      <c r="C49" s="38">
        <f>IF((C7)=0,0,(C29)/(C7))</f>
        <v/>
      </c>
      <c r="D49" s="12" t="inlineStr">
        <is>
          <t>kr</t>
        </is>
      </c>
      <c r="E49" s="23" t="inlineStr">
        <is>
          <t>DB m/tilskot etter maskinkostnader = DB m/tilskot etter maskinkostnader [C29] ÷ Tal m² [C7]</t>
        </is>
      </c>
      <c r="F49" s="24" t="inlineStr">
        <is>
          <t>=IF((C7)=0,0,(C29)/(C7))</t>
        </is>
      </c>
    </row>
    <row r="50">
      <c r="A50" s="18" t="inlineStr">
        <is>
          <t>6. OUTPUT – Nøkkeltal</t>
        </is>
      </c>
      <c r="B50" s="19" t="n"/>
      <c r="C50" s="19" t="n"/>
      <c r="D50" s="19" t="n"/>
      <c r="E50" s="19" t="n"/>
      <c r="F50" s="19" t="n"/>
    </row>
    <row r="51">
      <c r="A51" s="25" t="inlineStr">
        <is>
          <t>DB pr m² u/tilskot</t>
        </is>
      </c>
      <c r="B51" s="26" t="inlineStr">
        <is>
          <t>Utrekna</t>
        </is>
      </c>
      <c r="C51" s="39">
        <f>IF((C7)=0,0,(C27)/(C7))</f>
        <v/>
      </c>
      <c r="D51" s="28" t="inlineStr">
        <is>
          <t>kr</t>
        </is>
      </c>
      <c r="E51" s="29" t="inlineStr">
        <is>
          <t>DB pr m² u/tilskot = Dekningsbidrag (DB) utan tilskot [C27] ÷ Tal m² [C7]</t>
        </is>
      </c>
      <c r="F51" s="30" t="inlineStr">
        <is>
          <t>=IF((C7)=0,0,(C27)/(C7))</t>
        </is>
      </c>
    </row>
    <row r="52">
      <c r="A52" s="25" t="inlineStr">
        <is>
          <t>DB pr m² m/tilskot</t>
        </is>
      </c>
      <c r="B52" s="26" t="inlineStr">
        <is>
          <t>Utrekna</t>
        </is>
      </c>
      <c r="C52" s="39">
        <f>IF((C7)=0,0,(C28)/(C7))</f>
        <v/>
      </c>
      <c r="D52" s="28" t="inlineStr">
        <is>
          <t>kr</t>
        </is>
      </c>
      <c r="E52" s="29" t="inlineStr">
        <is>
          <t>DB pr m² m/tilskot = Dekningsbidrag (DB) med tilskot [C28] ÷ Tal m² [C7]</t>
        </is>
      </c>
      <c r="F52" s="30" t="inlineStr">
        <is>
          <t>=IF((C7)=0,0,(C28)/(C7))</t>
        </is>
      </c>
    </row>
    <row r="53">
      <c r="A53" s="25" t="inlineStr">
        <is>
          <t>Oppnådd pris pr kg</t>
        </is>
      </c>
      <c r="B53" s="26" t="inlineStr">
        <is>
          <t>Utrekna</t>
        </is>
      </c>
      <c r="C53" s="39">
        <f>IF((C9)=0,0,(C12)/(C9))</f>
        <v/>
      </c>
      <c r="D53" s="28" t="inlineStr">
        <is>
          <t>kr</t>
        </is>
      </c>
      <c r="E53" s="29" t="inlineStr">
        <is>
          <t>Oppnådd pris pr kg = Sal av tomat [C12] ÷ Seld mengd [C9]</t>
        </is>
      </c>
      <c r="F53" s="30" t="inlineStr">
        <is>
          <t>=IF((C9)=0,0,(C12)/(C9))</t>
        </is>
      </c>
    </row>
    <row r="54">
      <c r="A54" s="25" t="inlineStr">
        <is>
          <t>Avling pr m² (kg)</t>
        </is>
      </c>
      <c r="B54" s="26" t="inlineStr">
        <is>
          <t>Utrekna</t>
        </is>
      </c>
      <c r="C54" s="37">
        <f>IF((C7)=0,0,(C8)/(C7))</f>
        <v/>
      </c>
      <c r="D54" s="28" t="inlineStr">
        <is>
          <t>kg</t>
        </is>
      </c>
      <c r="E54" s="29" t="inlineStr">
        <is>
          <t>Avling pr m² (kg) = Avling totalt [C8] ÷ Tal m² [C7]</t>
        </is>
      </c>
      <c r="F54" s="30" t="inlineStr">
        <is>
          <t>=IF((C7)=0,0,(C8)/(C7))</t>
        </is>
      </c>
    </row>
    <row r="55">
      <c r="A55" s="25" t="inlineStr">
        <is>
          <t>Maskinkostnader pr m²</t>
        </is>
      </c>
      <c r="B55" s="26" t="inlineStr">
        <is>
          <t>Utrekna</t>
        </is>
      </c>
      <c r="C55" s="39">
        <f>IF((C7)=0,0,(C23)/(C7))</f>
        <v/>
      </c>
      <c r="D55" s="28" t="inlineStr">
        <is>
          <t>kr</t>
        </is>
      </c>
      <c r="E55" s="29" t="inlineStr">
        <is>
          <t>Maskinkostnader pr m² = Maskinkostnader fordelt [C23] ÷ Tal m² [C7]</t>
        </is>
      </c>
      <c r="F55" s="30" t="inlineStr">
        <is>
          <t>=IF((C7)=0,0,(C23)/(C7))</t>
        </is>
      </c>
    </row>
    <row r="56">
      <c r="A56" s="25" t="inlineStr">
        <is>
          <t>DB etter maskinkostnader pr m²</t>
        </is>
      </c>
      <c r="B56" s="26" t="inlineStr">
        <is>
          <t>Utrekna</t>
        </is>
      </c>
      <c r="C56" s="39">
        <f>IF((C7)=0,0,(C29)/(C7))</f>
        <v/>
      </c>
      <c r="D56" s="28" t="inlineStr">
        <is>
          <t>kr</t>
        </is>
      </c>
      <c r="E56" s="29" t="inlineStr">
        <is>
          <t>DB etter maskinkostnader pr m² = DB m/tilskot etter maskinkostnader [C29] ÷ Tal m² [C7]</t>
        </is>
      </c>
      <c r="F56" s="30" t="inlineStr">
        <is>
          <t>=IF((C7)=0,0,(C29)/(C7))</t>
        </is>
      </c>
    </row>
  </sheetData>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F54"/>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0" customWidth="1" min="1" max="1"/>
    <col width="34" customWidth="1" min="2" max="2"/>
    <col width="16" customWidth="1" min="3" max="3"/>
    <col width="10" customWidth="1" min="4" max="4"/>
    <col width="78" customWidth="1" min="5" max="5"/>
    <col width="46" customWidth="1" min="6" max="6"/>
  </cols>
  <sheetData>
    <row r="1" ht="22" customHeight="1">
      <c r="A1" s="1" t="inlineStr">
        <is>
          <t>Frilandsgrønsaker  –  driftsgrein 2200-2490, 2600-3290</t>
        </is>
      </c>
    </row>
    <row r="2">
      <c r="A2" s="7" t="inlineStr">
        <is>
          <t>Frilandsgrønsaker utanom gulrot og kålrot.</t>
        </is>
      </c>
    </row>
    <row r="3">
      <c r="A3" s="8" t="inlineStr">
        <is>
          <t>Fargekodar:  blå tal på gul botn = input (skal fyllast inn)   ·   svart = formel   ·   grøn = lenkje frå anna ark.   Alle kronebeløp er positive (inntekt og kostnad).</t>
        </is>
      </c>
    </row>
    <row r="5">
      <c r="A5" s="17" t="inlineStr">
        <is>
          <t>Post</t>
        </is>
      </c>
      <c r="B5" s="17" t="inlineStr">
        <is>
          <t>Kjelde / Tripletex-konto</t>
        </is>
      </c>
      <c r="C5" s="17" t="inlineStr">
        <is>
          <t>Verdi</t>
        </is>
      </c>
      <c r="D5" s="17" t="inlineStr">
        <is>
          <t>Eining</t>
        </is>
      </c>
      <c r="E5" s="17" t="inlineStr">
        <is>
          <t>Formel forklart (korleis outputen blir rekna)</t>
        </is>
      </c>
      <c r="F5" s="17" t="inlineStr">
        <is>
          <t>Excel-formel</t>
        </is>
      </c>
    </row>
    <row r="6">
      <c r="A6" s="18" t="inlineStr">
        <is>
          <t>1. INPUT – Produksjonsdata</t>
        </is>
      </c>
      <c r="B6" s="19" t="n"/>
      <c r="C6" s="19" t="n"/>
      <c r="D6" s="19" t="n"/>
      <c r="E6" s="19" t="n"/>
      <c r="F6" s="19" t="n"/>
    </row>
    <row r="7">
      <c r="A7" s="20" t="inlineStr">
        <is>
          <t>Tal dekar</t>
        </is>
      </c>
      <c r="B7" s="24" t="inlineStr">
        <is>
          <t>Produksjonstabell / søknad om produksjonstilskot</t>
        </is>
      </c>
      <c r="C7" s="31" t="n">
        <v>40</v>
      </c>
      <c r="D7" s="12" t="inlineStr">
        <is>
          <t>da</t>
        </is>
      </c>
      <c r="E7" s="24" t="inlineStr">
        <is>
          <t>Input. Hentast frå: Produksjonstabell / søknad om produksjonstilskot.</t>
        </is>
      </c>
      <c r="F7" s="32" t="n"/>
    </row>
    <row r="8">
      <c r="A8" s="20" t="inlineStr">
        <is>
          <t>Avling totalt</t>
        </is>
      </c>
      <c r="B8" s="24" t="inlineStr">
        <is>
          <t>Produksjonstabell / avlingsregistrering</t>
        </is>
      </c>
      <c r="C8" s="31" t="n">
        <v>120000</v>
      </c>
      <c r="D8" s="12" t="inlineStr">
        <is>
          <t>kg</t>
        </is>
      </c>
      <c r="E8" s="24" t="inlineStr">
        <is>
          <t>Input. Hentast frå: Produksjonstabell / avlingsregistrering.</t>
        </is>
      </c>
      <c r="F8" s="32" t="n"/>
    </row>
    <row r="9">
      <c r="A9" s="20" t="inlineStr">
        <is>
          <t>Seld mengd</t>
        </is>
      </c>
      <c r="B9" s="24" t="inlineStr">
        <is>
          <t>Mengde 1/2 på salskonto (3013, 3015, 3020, 3039)</t>
        </is>
      </c>
      <c r="C9" s="31" t="n">
        <v>110000</v>
      </c>
      <c r="D9" s="12" t="inlineStr">
        <is>
          <t>kg</t>
        </is>
      </c>
      <c r="E9" s="24" t="inlineStr">
        <is>
          <t>Input. Hentast frå: Mengde 1/2 på salskonto (3013, 3015, 3020, 3039).</t>
        </is>
      </c>
      <c r="F9" s="32" t="n"/>
    </row>
    <row r="10">
      <c r="A10" s="18" t="inlineStr">
        <is>
          <t>2. INPUT – Rekneskapstal (kr) frå saldobalansen etter korrigeringar</t>
        </is>
      </c>
      <c r="B10" s="19" t="n"/>
      <c r="C10" s="19" t="n"/>
      <c r="D10" s="19" t="n"/>
      <c r="E10" s="19" t="n"/>
      <c r="F10" s="19" t="n"/>
    </row>
    <row r="11">
      <c r="A11" s="20" t="inlineStr">
        <is>
          <t>Produksjonstilskot fordelt på produksjonen</t>
        </is>
      </c>
      <c r="B11" s="24" t="inlineStr">
        <is>
          <t>34xx (ikkje 344x avløysartilskot)</t>
        </is>
      </c>
      <c r="C11" s="31" t="n">
        <v>60000</v>
      </c>
      <c r="D11" s="12" t="inlineStr">
        <is>
          <t>kr</t>
        </is>
      </c>
      <c r="E11" s="24" t="inlineStr">
        <is>
          <t>Input. Hentast frå: 34xx (ikkje 344x avløysartilskot).</t>
        </is>
      </c>
      <c r="F11" s="32" t="n"/>
    </row>
    <row r="12">
      <c r="A12" s="20" t="inlineStr">
        <is>
          <t>Sal av grønsaker</t>
        </is>
      </c>
      <c r="B12" s="24" t="inlineStr">
        <is>
          <t>3013, 3015, 3020, 3039</t>
        </is>
      </c>
      <c r="C12" s="31" t="n">
        <v>660000</v>
      </c>
      <c r="D12" s="12" t="inlineStr">
        <is>
          <t>kr</t>
        </is>
      </c>
      <c r="E12" s="24" t="inlineStr">
        <is>
          <t>Input. Hentast frå: 3013, 3015, 3020, 3039.</t>
        </is>
      </c>
      <c r="F12" s="32" t="n"/>
    </row>
    <row r="13">
      <c r="A13" s="20" t="inlineStr">
        <is>
          <t>Beholdningsendring ferdigvarer (+ = auke)</t>
        </is>
      </c>
      <c r="B13" s="24" t="inlineStr">
        <is>
          <t>4290-4298 (forteikn snudd)</t>
        </is>
      </c>
      <c r="C13" s="31" t="n">
        <v>0</v>
      </c>
      <c r="D13" s="12" t="inlineStr">
        <is>
          <t>kr</t>
        </is>
      </c>
      <c r="E13" s="24" t="inlineStr">
        <is>
          <t>Input. Hentast frå: 4290-4298 (forteikn snudd).</t>
        </is>
      </c>
      <c r="F13" s="32" t="n"/>
    </row>
    <row r="14">
      <c r="A14" s="20" t="inlineStr">
        <is>
          <t>Andre inntekter</t>
        </is>
      </c>
      <c r="B14" s="24" t="inlineStr">
        <is>
          <t>andre 3xxx kopla til produksjonen</t>
        </is>
      </c>
      <c r="C14" s="31" t="n">
        <v>0</v>
      </c>
      <c r="D14" s="12" t="inlineStr">
        <is>
          <t>kr</t>
        </is>
      </c>
      <c r="E14" s="24" t="inlineStr">
        <is>
          <t>Input. Hentast frå: andre 3xxx kopla til produksjonen.</t>
        </is>
      </c>
      <c r="F14" s="32" t="n"/>
    </row>
    <row r="15">
      <c r="A15" s="18" t="inlineStr">
        <is>
          <t>Variable kostnader</t>
        </is>
      </c>
      <c r="B15" s="19" t="n"/>
      <c r="C15" s="19" t="n"/>
      <c r="D15" s="19" t="n"/>
      <c r="E15" s="19" t="n"/>
      <c r="F15" s="19" t="n"/>
    </row>
    <row r="16">
      <c r="A16" s="20" t="inlineStr">
        <is>
          <t>Gjødsel og kalk</t>
        </is>
      </c>
      <c r="B16" s="24" t="inlineStr">
        <is>
          <t>4050, 4057, 4095</t>
        </is>
      </c>
      <c r="C16" s="31" t="n">
        <v>30000</v>
      </c>
      <c r="D16" s="12" t="inlineStr">
        <is>
          <t>kr</t>
        </is>
      </c>
      <c r="E16" s="24" t="inlineStr">
        <is>
          <t>Input. Hentast frå: 4050, 4057, 4095.</t>
        </is>
      </c>
      <c r="F16" s="32" t="n"/>
    </row>
    <row r="17">
      <c r="A17" s="20" t="inlineStr">
        <is>
          <t>Plantevernmiddel</t>
        </is>
      </c>
      <c r="B17" s="24" t="inlineStr">
        <is>
          <t>4110, 4111, 4191</t>
        </is>
      </c>
      <c r="C17" s="31" t="n">
        <v>20000</v>
      </c>
      <c r="D17" s="12" t="inlineStr">
        <is>
          <t>kr</t>
        </is>
      </c>
      <c r="E17" s="24" t="inlineStr">
        <is>
          <t>Input. Hentast frå: 4110, 4111, 4191.</t>
        </is>
      </c>
      <c r="F17" s="32" t="n"/>
    </row>
    <row r="18">
      <c r="A18" s="20" t="inlineStr">
        <is>
          <t>Frø / planter</t>
        </is>
      </c>
      <c r="B18" s="24" t="inlineStr">
        <is>
          <t>4012</t>
        </is>
      </c>
      <c r="C18" s="31" t="n">
        <v>80000</v>
      </c>
      <c r="D18" s="12" t="inlineStr">
        <is>
          <t>kr</t>
        </is>
      </c>
      <c r="E18" s="24" t="inlineStr">
        <is>
          <t>Input. Hentast frå: 4012.</t>
        </is>
      </c>
      <c r="F18" s="32" t="n"/>
    </row>
    <row r="19">
      <c r="A19" s="20" t="inlineStr">
        <is>
          <t>Emballasje</t>
        </is>
      </c>
      <c r="B19" s="24" t="inlineStr">
        <is>
          <t>4140-4142, 4194</t>
        </is>
      </c>
      <c r="C19" s="31" t="n">
        <v>50000</v>
      </c>
      <c r="D19" s="12" t="inlineStr">
        <is>
          <t>kr</t>
        </is>
      </c>
      <c r="E19" s="24" t="inlineStr">
        <is>
          <t>Input. Hentast frå: 4140-4142, 4194.</t>
        </is>
      </c>
      <c r="F19" s="32" t="n"/>
    </row>
    <row r="20">
      <c r="A20" s="20" t="inlineStr">
        <is>
          <t>Andre variable kostnader</t>
        </is>
      </c>
      <c r="B20" s="24" t="inlineStr">
        <is>
          <t>4540-4549, 4160 + andre 4xxx</t>
        </is>
      </c>
      <c r="C20" s="31" t="n">
        <v>60000</v>
      </c>
      <c r="D20" s="12" t="inlineStr">
        <is>
          <t>kr</t>
        </is>
      </c>
      <c r="E20" s="24" t="inlineStr">
        <is>
          <t>Input. Hentast frå: 4540-4549, 4160 + andre 4xxx.</t>
        </is>
      </c>
      <c r="F20" s="32" t="n"/>
    </row>
    <row r="21">
      <c r="A21" s="18" t="inlineStr">
        <is>
          <t>3. INPUT – Fordelte faste kostnader (lenka frå arket «Faste kostnader»)</t>
        </is>
      </c>
      <c r="B21" s="19" t="n"/>
      <c r="C21" s="19" t="n"/>
      <c r="D21" s="19" t="n"/>
      <c r="E21" s="19" t="n"/>
      <c r="F21" s="19" t="n"/>
    </row>
    <row r="22">
      <c r="A22" s="20" t="inlineStr">
        <is>
          <t>Maskinkostnader fordelt</t>
        </is>
      </c>
      <c r="B22" s="21" t="inlineStr">
        <is>
          <t>Lenkje frå anna ark</t>
        </is>
      </c>
      <c r="C22" s="13">
        <f>'Faste kostnader'!C43</f>
        <v/>
      </c>
      <c r="D22" s="12" t="inlineStr">
        <is>
          <t>kr</t>
        </is>
      </c>
      <c r="E22" s="23" t="inlineStr">
        <is>
          <t>Maskinkostnader fordelt = Maskinkostnader – Frilandsgrønsak [Faste kostnader!C43]</t>
        </is>
      </c>
      <c r="F22" s="24" t="inlineStr">
        <is>
          <t>='Faste kostnader'!C43</t>
        </is>
      </c>
    </row>
    <row r="23">
      <c r="A23" s="18" t="inlineStr">
        <is>
          <t>4. UTREKNING – Totalt for produksjonen</t>
        </is>
      </c>
      <c r="B23" s="19" t="n"/>
      <c r="C23" s="19" t="n"/>
      <c r="D23" s="19" t="n"/>
      <c r="E23" s="19" t="n"/>
      <c r="F23" s="19" t="n"/>
    </row>
    <row r="24">
      <c r="A24" s="20" t="inlineStr">
        <is>
          <t>Produksjonsinntekter i alt</t>
        </is>
      </c>
      <c r="B24" s="21" t="inlineStr">
        <is>
          <t>Utrekna</t>
        </is>
      </c>
      <c r="C24" s="22">
        <f>C12+C13+C14</f>
        <v/>
      </c>
      <c r="D24" s="12" t="inlineStr">
        <is>
          <t>kr</t>
        </is>
      </c>
      <c r="E24" s="23" t="inlineStr">
        <is>
          <t>Produksjonsinntekter i alt = Sal av grønsaker [C12] + Beholdningsendring ferdigvarer (+ = auke) [C13] + Andre inntekter [C14]</t>
        </is>
      </c>
      <c r="F24" s="24" t="inlineStr">
        <is>
          <t>=C12+C13+C14</t>
        </is>
      </c>
    </row>
    <row r="25">
      <c r="A25" s="20" t="inlineStr">
        <is>
          <t>Variable kostnader i alt</t>
        </is>
      </c>
      <c r="B25" s="21" t="inlineStr">
        <is>
          <t>Utrekna</t>
        </is>
      </c>
      <c r="C25" s="22">
        <f>C16+C17+C18+C19+C20</f>
        <v/>
      </c>
      <c r="D25" s="12" t="inlineStr">
        <is>
          <t>kr</t>
        </is>
      </c>
      <c r="E25" s="23" t="inlineStr">
        <is>
          <t>Variable kostnader i alt = Gjødsel og kalk [C16] + Plantevernmiddel [C17] + Frø / planter [C18] + Emballasje [C19] + Andre variable kostnader [C20]</t>
        </is>
      </c>
      <c r="F25" s="24" t="inlineStr">
        <is>
          <t>=C16+C17+C18+C19+C20</t>
        </is>
      </c>
    </row>
    <row r="26">
      <c r="A26" s="25" t="inlineStr">
        <is>
          <t>Dekningsbidrag (DB) utan tilskot</t>
        </is>
      </c>
      <c r="B26" s="26" t="inlineStr">
        <is>
          <t>Utrekna</t>
        </is>
      </c>
      <c r="C26" s="27">
        <f>C24-C25</f>
        <v/>
      </c>
      <c r="D26" s="28" t="inlineStr">
        <is>
          <t>kr</t>
        </is>
      </c>
      <c r="E26" s="29" t="inlineStr">
        <is>
          <t>Dekningsbidrag (DB) utan tilskot = Produksjonsinntekter i alt [C24] − Variable kostnader i alt [C25]</t>
        </is>
      </c>
      <c r="F26" s="30" t="inlineStr">
        <is>
          <t>=C24-C25</t>
        </is>
      </c>
    </row>
    <row r="27">
      <c r="A27" s="25" t="inlineStr">
        <is>
          <t>Dekningsbidrag (DB) med tilskot</t>
        </is>
      </c>
      <c r="B27" s="26" t="inlineStr">
        <is>
          <t>Utrekna</t>
        </is>
      </c>
      <c r="C27" s="27">
        <f>C26+C11</f>
        <v/>
      </c>
      <c r="D27" s="28" t="inlineStr">
        <is>
          <t>kr</t>
        </is>
      </c>
      <c r="E27" s="29" t="inlineStr">
        <is>
          <t>Dekningsbidrag (DB) med tilskot = Dekningsbidrag (DB) utan tilskot [C26] + Produksjonstilskot fordelt på produksjonen [C11]</t>
        </is>
      </c>
      <c r="F27" s="30" t="inlineStr">
        <is>
          <t>=C26+C11</t>
        </is>
      </c>
    </row>
    <row r="28">
      <c r="A28" s="20" t="inlineStr">
        <is>
          <t>DB m/tilskot etter maskinkostnader</t>
        </is>
      </c>
      <c r="B28" s="21" t="inlineStr">
        <is>
          <t>Utrekna</t>
        </is>
      </c>
      <c r="C28" s="22">
        <f>C27-C22</f>
        <v/>
      </c>
      <c r="D28" s="12" t="inlineStr">
        <is>
          <t>kr</t>
        </is>
      </c>
      <c r="E28" s="23" t="inlineStr">
        <is>
          <t>DB m/tilskot etter maskinkostnader = Dekningsbidrag (DB) med tilskot [C27] − Maskinkostnader fordelt [C22]</t>
        </is>
      </c>
      <c r="F28" s="24" t="inlineStr">
        <is>
          <t>=C27-C22</t>
        </is>
      </c>
    </row>
    <row r="29">
      <c r="A29" s="18" t="inlineStr">
        <is>
          <t>5. OUTPUT – Per eining (pr dekar)</t>
        </is>
      </c>
      <c r="B29" s="19" t="n"/>
      <c r="C29" s="19" t="n"/>
      <c r="D29" s="19" t="n"/>
      <c r="E29" s="19" t="n"/>
      <c r="F29" s="19" t="n"/>
    </row>
    <row r="30">
      <c r="A30" s="18" t="inlineStr">
        <is>
          <t>Produksjonsinntekter pr dekar</t>
        </is>
      </c>
      <c r="B30" s="19" t="n"/>
      <c r="C30" s="19" t="n"/>
      <c r="D30" s="19" t="n"/>
      <c r="E30" s="19" t="n"/>
      <c r="F30" s="19" t="n"/>
    </row>
    <row r="31">
      <c r="A31" s="20" t="inlineStr">
        <is>
          <t>Sal av grønsaker</t>
        </is>
      </c>
      <c r="B31" s="21" t="inlineStr">
        <is>
          <t>Utrekna</t>
        </is>
      </c>
      <c r="C31" s="38">
        <f>IF((C7)=0,0,(C12)/(C7))</f>
        <v/>
      </c>
      <c r="D31" s="12" t="inlineStr">
        <is>
          <t>kr</t>
        </is>
      </c>
      <c r="E31" s="23" t="inlineStr">
        <is>
          <t>Sal av grønsaker = Sal av grønsaker [C12] ÷ Tal dekar [C7]</t>
        </is>
      </c>
      <c r="F31" s="24" t="inlineStr">
        <is>
          <t>=IF((C7)=0,0,(C12)/(C7))</t>
        </is>
      </c>
    </row>
    <row r="32">
      <c r="A32" s="20" t="inlineStr">
        <is>
          <t>Beholdningsendring ferdigvarer (+ = auke)</t>
        </is>
      </c>
      <c r="B32" s="21" t="inlineStr">
        <is>
          <t>Utrekna</t>
        </is>
      </c>
      <c r="C32" s="38">
        <f>IF((C7)=0,0,(C13)/(C7))</f>
        <v/>
      </c>
      <c r="D32" s="12" t="inlineStr">
        <is>
          <t>kr</t>
        </is>
      </c>
      <c r="E32" s="23" t="inlineStr">
        <is>
          <t>Beholdningsendring ferdigvarer (+ = auke) = Beholdningsendring ferdigvarer (+ = auke) [C13] ÷ Tal dekar [C7]</t>
        </is>
      </c>
      <c r="F32" s="24" t="inlineStr">
        <is>
          <t>=IF((C7)=0,0,(C13)/(C7))</t>
        </is>
      </c>
    </row>
    <row r="33">
      <c r="A33" s="20" t="inlineStr">
        <is>
          <t>Andre inntekter</t>
        </is>
      </c>
      <c r="B33" s="21" t="inlineStr">
        <is>
          <t>Utrekna</t>
        </is>
      </c>
      <c r="C33" s="38">
        <f>IF((C7)=0,0,(C14)/(C7))</f>
        <v/>
      </c>
      <c r="D33" s="12" t="inlineStr">
        <is>
          <t>kr</t>
        </is>
      </c>
      <c r="E33" s="23" t="inlineStr">
        <is>
          <t>Andre inntekter = Andre inntekter [C14] ÷ Tal dekar [C7]</t>
        </is>
      </c>
      <c r="F33" s="24" t="inlineStr">
        <is>
          <t>=IF((C7)=0,0,(C14)/(C7))</t>
        </is>
      </c>
    </row>
    <row r="34">
      <c r="A34" s="20" t="inlineStr">
        <is>
          <t>Produksjonsinntekter i alt</t>
        </is>
      </c>
      <c r="B34" s="21" t="inlineStr">
        <is>
          <t>Utrekna</t>
        </is>
      </c>
      <c r="C34" s="38">
        <f>IF((C7)=0,0,(C24)/(C7))</f>
        <v/>
      </c>
      <c r="D34" s="12" t="inlineStr">
        <is>
          <t>kr</t>
        </is>
      </c>
      <c r="E34" s="23" t="inlineStr">
        <is>
          <t>Produksjonsinntekter i alt = Produksjonsinntekter i alt [C24] ÷ Tal dekar [C7]</t>
        </is>
      </c>
      <c r="F34" s="24" t="inlineStr">
        <is>
          <t>=IF((C7)=0,0,(C24)/(C7))</t>
        </is>
      </c>
    </row>
    <row r="35">
      <c r="A35" s="18" t="inlineStr">
        <is>
          <t>Variable kostnader pr dekar</t>
        </is>
      </c>
      <c r="B35" s="19" t="n"/>
      <c r="C35" s="19" t="n"/>
      <c r="D35" s="19" t="n"/>
      <c r="E35" s="19" t="n"/>
      <c r="F35" s="19" t="n"/>
    </row>
    <row r="36">
      <c r="A36" s="20" t="inlineStr">
        <is>
          <t>Gjødsel og kalk</t>
        </is>
      </c>
      <c r="B36" s="21" t="inlineStr">
        <is>
          <t>Utrekna</t>
        </is>
      </c>
      <c r="C36" s="38">
        <f>IF((C7)=0,0,(C16)/(C7))</f>
        <v/>
      </c>
      <c r="D36" s="12" t="inlineStr">
        <is>
          <t>kr</t>
        </is>
      </c>
      <c r="E36" s="23" t="inlineStr">
        <is>
          <t>Gjødsel og kalk = Gjødsel og kalk [C16] ÷ Tal dekar [C7]</t>
        </is>
      </c>
      <c r="F36" s="24" t="inlineStr">
        <is>
          <t>=IF((C7)=0,0,(C16)/(C7))</t>
        </is>
      </c>
    </row>
    <row r="37">
      <c r="A37" s="20" t="inlineStr">
        <is>
          <t>Plantevernmiddel</t>
        </is>
      </c>
      <c r="B37" s="21" t="inlineStr">
        <is>
          <t>Utrekna</t>
        </is>
      </c>
      <c r="C37" s="38">
        <f>IF((C7)=0,0,(C17)/(C7))</f>
        <v/>
      </c>
      <c r="D37" s="12" t="inlineStr">
        <is>
          <t>kr</t>
        </is>
      </c>
      <c r="E37" s="23" t="inlineStr">
        <is>
          <t>Plantevernmiddel = Plantevernmiddel [C17] ÷ Tal dekar [C7]</t>
        </is>
      </c>
      <c r="F37" s="24" t="inlineStr">
        <is>
          <t>=IF((C7)=0,0,(C17)/(C7))</t>
        </is>
      </c>
    </row>
    <row r="38">
      <c r="A38" s="20" t="inlineStr">
        <is>
          <t>Frø / planter</t>
        </is>
      </c>
      <c r="B38" s="21" t="inlineStr">
        <is>
          <t>Utrekna</t>
        </is>
      </c>
      <c r="C38" s="38">
        <f>IF((C7)=0,0,(C18)/(C7))</f>
        <v/>
      </c>
      <c r="D38" s="12" t="inlineStr">
        <is>
          <t>kr</t>
        </is>
      </c>
      <c r="E38" s="23" t="inlineStr">
        <is>
          <t>Frø / planter = Frø / planter [C18] ÷ Tal dekar [C7]</t>
        </is>
      </c>
      <c r="F38" s="24" t="inlineStr">
        <is>
          <t>=IF((C7)=0,0,(C18)/(C7))</t>
        </is>
      </c>
    </row>
    <row r="39">
      <c r="A39" s="20" t="inlineStr">
        <is>
          <t>Emballasje</t>
        </is>
      </c>
      <c r="B39" s="21" t="inlineStr">
        <is>
          <t>Utrekna</t>
        </is>
      </c>
      <c r="C39" s="38">
        <f>IF((C7)=0,0,(C19)/(C7))</f>
        <v/>
      </c>
      <c r="D39" s="12" t="inlineStr">
        <is>
          <t>kr</t>
        </is>
      </c>
      <c r="E39" s="23" t="inlineStr">
        <is>
          <t>Emballasje = Emballasje [C19] ÷ Tal dekar [C7]</t>
        </is>
      </c>
      <c r="F39" s="24" t="inlineStr">
        <is>
          <t>=IF((C7)=0,0,(C19)/(C7))</t>
        </is>
      </c>
    </row>
    <row r="40">
      <c r="A40" s="20" t="inlineStr">
        <is>
          <t>Andre variable kostnader</t>
        </is>
      </c>
      <c r="B40" s="21" t="inlineStr">
        <is>
          <t>Utrekna</t>
        </is>
      </c>
      <c r="C40" s="38">
        <f>IF((C7)=0,0,(C20)/(C7))</f>
        <v/>
      </c>
      <c r="D40" s="12" t="inlineStr">
        <is>
          <t>kr</t>
        </is>
      </c>
      <c r="E40" s="23" t="inlineStr">
        <is>
          <t>Andre variable kostnader = Andre variable kostnader [C20] ÷ Tal dekar [C7]</t>
        </is>
      </c>
      <c r="F40" s="24" t="inlineStr">
        <is>
          <t>=IF((C7)=0,0,(C20)/(C7))</t>
        </is>
      </c>
    </row>
    <row r="41">
      <c r="A41" s="20" t="inlineStr">
        <is>
          <t>Sum variable kostnader</t>
        </is>
      </c>
      <c r="B41" s="21" t="inlineStr">
        <is>
          <t>Utrekna</t>
        </is>
      </c>
      <c r="C41" s="38">
        <f>IF((C7)=0,0,(C25)/(C7))</f>
        <v/>
      </c>
      <c r="D41" s="12" t="inlineStr">
        <is>
          <t>kr</t>
        </is>
      </c>
      <c r="E41" s="23" t="inlineStr">
        <is>
          <t>Sum variable kostnader = Variable kostnader i alt [C25] ÷ Tal dekar [C7]</t>
        </is>
      </c>
      <c r="F41" s="24" t="inlineStr">
        <is>
          <t>=IF((C7)=0,0,(C25)/(C7))</t>
        </is>
      </c>
    </row>
    <row r="42">
      <c r="A42" s="18" t="inlineStr">
        <is>
          <t>Resultat pr dekar</t>
        </is>
      </c>
      <c r="B42" s="19" t="n"/>
      <c r="C42" s="19" t="n"/>
      <c r="D42" s="19" t="n"/>
      <c r="E42" s="19" t="n"/>
      <c r="F42" s="19" t="n"/>
    </row>
    <row r="43">
      <c r="A43" s="20" t="inlineStr">
        <is>
          <t>DB utan tilskot</t>
        </is>
      </c>
      <c r="B43" s="21" t="inlineStr">
        <is>
          <t>Utrekna</t>
        </is>
      </c>
      <c r="C43" s="38">
        <f>IF((C7)=0,0,(C26)/(C7))</f>
        <v/>
      </c>
      <c r="D43" s="12" t="inlineStr">
        <is>
          <t>kr</t>
        </is>
      </c>
      <c r="E43" s="23" t="inlineStr">
        <is>
          <t>DB utan tilskot = Dekningsbidrag (DB) utan tilskot [C26] ÷ Tal dekar [C7]</t>
        </is>
      </c>
      <c r="F43" s="24" t="inlineStr">
        <is>
          <t>=IF((C7)=0,0,(C26)/(C7))</t>
        </is>
      </c>
    </row>
    <row r="44">
      <c r="A44" s="20" t="inlineStr">
        <is>
          <t>Tilskot</t>
        </is>
      </c>
      <c r="B44" s="21" t="inlineStr">
        <is>
          <t>Utrekna</t>
        </is>
      </c>
      <c r="C44" s="38">
        <f>IF((C7)=0,0,(C11)/(C7))</f>
        <v/>
      </c>
      <c r="D44" s="12" t="inlineStr">
        <is>
          <t>kr</t>
        </is>
      </c>
      <c r="E44" s="23" t="inlineStr">
        <is>
          <t>Tilskot = Produksjonstilskot fordelt på produksjonen [C11] ÷ Tal dekar [C7]</t>
        </is>
      </c>
      <c r="F44" s="24" t="inlineStr">
        <is>
          <t>=IF((C7)=0,0,(C11)/(C7))</t>
        </is>
      </c>
    </row>
    <row r="45">
      <c r="A45" s="20" t="inlineStr">
        <is>
          <t>DB med tilskot</t>
        </is>
      </c>
      <c r="B45" s="21" t="inlineStr">
        <is>
          <t>Utrekna</t>
        </is>
      </c>
      <c r="C45" s="38">
        <f>IF((C7)=0,0,(C27)/(C7))</f>
        <v/>
      </c>
      <c r="D45" s="12" t="inlineStr">
        <is>
          <t>kr</t>
        </is>
      </c>
      <c r="E45" s="23" t="inlineStr">
        <is>
          <t>DB med tilskot = Dekningsbidrag (DB) med tilskot [C27] ÷ Tal dekar [C7]</t>
        </is>
      </c>
      <c r="F45" s="24" t="inlineStr">
        <is>
          <t>=IF((C7)=0,0,(C27)/(C7))</t>
        </is>
      </c>
    </row>
    <row r="46">
      <c r="A46" s="20" t="inlineStr">
        <is>
          <t>Maskinkostnader</t>
        </is>
      </c>
      <c r="B46" s="21" t="inlineStr">
        <is>
          <t>Utrekna</t>
        </is>
      </c>
      <c r="C46" s="38">
        <f>IF((C7)=0,0,(C22)/(C7))</f>
        <v/>
      </c>
      <c r="D46" s="12" t="inlineStr">
        <is>
          <t>kr</t>
        </is>
      </c>
      <c r="E46" s="23" t="inlineStr">
        <is>
          <t>Maskinkostnader = Maskinkostnader fordelt [C22] ÷ Tal dekar [C7]</t>
        </is>
      </c>
      <c r="F46" s="24" t="inlineStr">
        <is>
          <t>=IF((C7)=0,0,(C22)/(C7))</t>
        </is>
      </c>
    </row>
    <row r="47">
      <c r="A47" s="20" t="inlineStr">
        <is>
          <t>DB m/tilskot etter maskinkostnader</t>
        </is>
      </c>
      <c r="B47" s="21" t="inlineStr">
        <is>
          <t>Utrekna</t>
        </is>
      </c>
      <c r="C47" s="38">
        <f>IF((C7)=0,0,(C28)/(C7))</f>
        <v/>
      </c>
      <c r="D47" s="12" t="inlineStr">
        <is>
          <t>kr</t>
        </is>
      </c>
      <c r="E47" s="23" t="inlineStr">
        <is>
          <t>DB m/tilskot etter maskinkostnader = DB m/tilskot etter maskinkostnader [C28] ÷ Tal dekar [C7]</t>
        </is>
      </c>
      <c r="F47" s="24" t="inlineStr">
        <is>
          <t>=IF((C7)=0,0,(C28)/(C7))</t>
        </is>
      </c>
    </row>
    <row r="48">
      <c r="A48" s="18" t="inlineStr">
        <is>
          <t>6. OUTPUT – Nøkkeltal</t>
        </is>
      </c>
      <c r="B48" s="19" t="n"/>
      <c r="C48" s="19" t="n"/>
      <c r="D48" s="19" t="n"/>
      <c r="E48" s="19" t="n"/>
      <c r="F48" s="19" t="n"/>
    </row>
    <row r="49">
      <c r="A49" s="25" t="inlineStr">
        <is>
          <t>DB pr dekar u/tilskot</t>
        </is>
      </c>
      <c r="B49" s="26" t="inlineStr">
        <is>
          <t>Utrekna</t>
        </is>
      </c>
      <c r="C49" s="39">
        <f>IF((C7)=0,0,(C26)/(C7))</f>
        <v/>
      </c>
      <c r="D49" s="28" t="inlineStr">
        <is>
          <t>kr</t>
        </is>
      </c>
      <c r="E49" s="29" t="inlineStr">
        <is>
          <t>DB pr dekar u/tilskot = Dekningsbidrag (DB) utan tilskot [C26] ÷ Tal dekar [C7]</t>
        </is>
      </c>
      <c r="F49" s="30" t="inlineStr">
        <is>
          <t>=IF((C7)=0,0,(C26)/(C7))</t>
        </is>
      </c>
    </row>
    <row r="50">
      <c r="A50" s="25" t="inlineStr">
        <is>
          <t>DB pr dekar m/tilskot</t>
        </is>
      </c>
      <c r="B50" s="26" t="inlineStr">
        <is>
          <t>Utrekna</t>
        </is>
      </c>
      <c r="C50" s="39">
        <f>IF((C7)=0,0,(C27)/(C7))</f>
        <v/>
      </c>
      <c r="D50" s="28" t="inlineStr">
        <is>
          <t>kr</t>
        </is>
      </c>
      <c r="E50" s="29" t="inlineStr">
        <is>
          <t>DB pr dekar m/tilskot = Dekningsbidrag (DB) med tilskot [C27] ÷ Tal dekar [C7]</t>
        </is>
      </c>
      <c r="F50" s="30" t="inlineStr">
        <is>
          <t>=IF((C7)=0,0,(C27)/(C7))</t>
        </is>
      </c>
    </row>
    <row r="51">
      <c r="A51" s="25" t="inlineStr">
        <is>
          <t>Oppnådd pris pr kg</t>
        </is>
      </c>
      <c r="B51" s="26" t="inlineStr">
        <is>
          <t>Utrekna</t>
        </is>
      </c>
      <c r="C51" s="39">
        <f>IF((C9)=0,0,(C12)/(C9))</f>
        <v/>
      </c>
      <c r="D51" s="28" t="inlineStr">
        <is>
          <t>kr</t>
        </is>
      </c>
      <c r="E51" s="29" t="inlineStr">
        <is>
          <t>Oppnådd pris pr kg = Sal av grønsaker [C12] ÷ Seld mengd [C9]</t>
        </is>
      </c>
      <c r="F51" s="30" t="inlineStr">
        <is>
          <t>=IF((C9)=0,0,(C12)/(C9))</t>
        </is>
      </c>
    </row>
    <row r="52">
      <c r="A52" s="25" t="inlineStr">
        <is>
          <t>Avling pr dekar (kg)</t>
        </is>
      </c>
      <c r="B52" s="26" t="inlineStr">
        <is>
          <t>Utrekna</t>
        </is>
      </c>
      <c r="C52" s="37">
        <f>IF((C7)=0,0,(C8)/(C7))</f>
        <v/>
      </c>
      <c r="D52" s="28" t="inlineStr">
        <is>
          <t>kg</t>
        </is>
      </c>
      <c r="E52" s="29" t="inlineStr">
        <is>
          <t>Avling pr dekar (kg) = Avling totalt [C8] ÷ Tal dekar [C7]</t>
        </is>
      </c>
      <c r="F52" s="30" t="inlineStr">
        <is>
          <t>=IF((C7)=0,0,(C8)/(C7))</t>
        </is>
      </c>
    </row>
    <row r="53">
      <c r="A53" s="25" t="inlineStr">
        <is>
          <t>Maskinkostnader pr dekar</t>
        </is>
      </c>
      <c r="B53" s="26" t="inlineStr">
        <is>
          <t>Utrekna</t>
        </is>
      </c>
      <c r="C53" s="39">
        <f>IF((C7)=0,0,(C22)/(C7))</f>
        <v/>
      </c>
      <c r="D53" s="28" t="inlineStr">
        <is>
          <t>kr</t>
        </is>
      </c>
      <c r="E53" s="29" t="inlineStr">
        <is>
          <t>Maskinkostnader pr dekar = Maskinkostnader fordelt [C22] ÷ Tal dekar [C7]</t>
        </is>
      </c>
      <c r="F53" s="30" t="inlineStr">
        <is>
          <t>=IF((C7)=0,0,(C22)/(C7))</t>
        </is>
      </c>
    </row>
    <row r="54">
      <c r="A54" s="25" t="inlineStr">
        <is>
          <t>DB etter maskinkostnader pr dekar</t>
        </is>
      </c>
      <c r="B54" s="26" t="inlineStr">
        <is>
          <t>Utrekna</t>
        </is>
      </c>
      <c r="C54" s="39">
        <f>IF((C7)=0,0,(C28)/(C7))</f>
        <v/>
      </c>
      <c r="D54" s="28" t="inlineStr">
        <is>
          <t>kr</t>
        </is>
      </c>
      <c r="E54" s="29" t="inlineStr">
        <is>
          <t>DB etter maskinkostnader pr dekar = DB m/tilskot etter maskinkostnader [C28] ÷ Tal dekar [C7]</t>
        </is>
      </c>
      <c r="F54" s="30" t="inlineStr">
        <is>
          <t>=IF((C7)=0,0,(C28)/(C7))</t>
        </is>
      </c>
    </row>
  </sheetData>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F54"/>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0" customWidth="1" min="1" max="1"/>
    <col width="34" customWidth="1" min="2" max="2"/>
    <col width="16" customWidth="1" min="3" max="3"/>
    <col width="10" customWidth="1" min="4" max="4"/>
    <col width="78" customWidth="1" min="5" max="5"/>
    <col width="46" customWidth="1" min="6" max="6"/>
  </cols>
  <sheetData>
    <row r="1" ht="22" customHeight="1">
      <c r="A1" s="1" t="inlineStr">
        <is>
          <t>Gulrot  –  driftsgrein 2500-2590</t>
        </is>
      </c>
    </row>
    <row r="2">
      <c r="A2" s="7" t="inlineStr">
        <is>
          <t>Gulrot (driftsgrein 2500–2590).</t>
        </is>
      </c>
    </row>
    <row r="3">
      <c r="A3" s="8" t="inlineStr">
        <is>
          <t>Fargekodar:  blå tal på gul botn = input (skal fyllast inn)   ·   svart = formel   ·   grøn = lenkje frå anna ark.   Alle kronebeløp er positive (inntekt og kostnad).</t>
        </is>
      </c>
    </row>
    <row r="5">
      <c r="A5" s="17" t="inlineStr">
        <is>
          <t>Post</t>
        </is>
      </c>
      <c r="B5" s="17" t="inlineStr">
        <is>
          <t>Kjelde / Tripletex-konto</t>
        </is>
      </c>
      <c r="C5" s="17" t="inlineStr">
        <is>
          <t>Verdi</t>
        </is>
      </c>
      <c r="D5" s="17" t="inlineStr">
        <is>
          <t>Eining</t>
        </is>
      </c>
      <c r="E5" s="17" t="inlineStr">
        <is>
          <t>Formel forklart (korleis outputen blir rekna)</t>
        </is>
      </c>
      <c r="F5" s="17" t="inlineStr">
        <is>
          <t>Excel-formel</t>
        </is>
      </c>
    </row>
    <row r="6">
      <c r="A6" s="18" t="inlineStr">
        <is>
          <t>1. INPUT – Produksjonsdata</t>
        </is>
      </c>
      <c r="B6" s="19" t="n"/>
      <c r="C6" s="19" t="n"/>
      <c r="D6" s="19" t="n"/>
      <c r="E6" s="19" t="n"/>
      <c r="F6" s="19" t="n"/>
    </row>
    <row r="7">
      <c r="A7" s="20" t="inlineStr">
        <is>
          <t>Tal dekar</t>
        </is>
      </c>
      <c r="B7" s="24" t="inlineStr">
        <is>
          <t>Produksjonstabell / søknad om produksjonstilskot</t>
        </is>
      </c>
      <c r="C7" s="31" t="n">
        <v>25</v>
      </c>
      <c r="D7" s="12" t="inlineStr">
        <is>
          <t>da</t>
        </is>
      </c>
      <c r="E7" s="24" t="inlineStr">
        <is>
          <t>Input. Hentast frå: Produksjonstabell / søknad om produksjonstilskot.</t>
        </is>
      </c>
      <c r="F7" s="32" t="n"/>
    </row>
    <row r="8">
      <c r="A8" s="20" t="inlineStr">
        <is>
          <t>Avling totalt</t>
        </is>
      </c>
      <c r="B8" s="24" t="inlineStr">
        <is>
          <t>Produksjonstabell / avlingsregistrering</t>
        </is>
      </c>
      <c r="C8" s="31" t="n">
        <v>125000</v>
      </c>
      <c r="D8" s="12" t="inlineStr">
        <is>
          <t>kg</t>
        </is>
      </c>
      <c r="E8" s="24" t="inlineStr">
        <is>
          <t>Input. Hentast frå: Produksjonstabell / avlingsregistrering.</t>
        </is>
      </c>
      <c r="F8" s="32" t="n"/>
    </row>
    <row r="9">
      <c r="A9" s="20" t="inlineStr">
        <is>
          <t>Seld mengd</t>
        </is>
      </c>
      <c r="B9" s="24" t="inlineStr">
        <is>
          <t>Mengde 1/2 på salskonto (3014)</t>
        </is>
      </c>
      <c r="C9" s="31" t="n">
        <v>115000</v>
      </c>
      <c r="D9" s="12" t="inlineStr">
        <is>
          <t>kg</t>
        </is>
      </c>
      <c r="E9" s="24" t="inlineStr">
        <is>
          <t>Input. Hentast frå: Mengde 1/2 på salskonto (3014).</t>
        </is>
      </c>
      <c r="F9" s="32" t="n"/>
    </row>
    <row r="10">
      <c r="A10" s="18" t="inlineStr">
        <is>
          <t>2. INPUT – Rekneskapstal (kr) frå saldobalansen etter korrigeringar</t>
        </is>
      </c>
      <c r="B10" s="19" t="n"/>
      <c r="C10" s="19" t="n"/>
      <c r="D10" s="19" t="n"/>
      <c r="E10" s="19" t="n"/>
      <c r="F10" s="19" t="n"/>
    </row>
    <row r="11">
      <c r="A11" s="20" t="inlineStr">
        <is>
          <t>Produksjonstilskot fordelt på produksjonen</t>
        </is>
      </c>
      <c r="B11" s="24" t="inlineStr">
        <is>
          <t>34xx (ikkje 344x avløysartilskot)</t>
        </is>
      </c>
      <c r="C11" s="31" t="n">
        <v>35000</v>
      </c>
      <c r="D11" s="12" t="inlineStr">
        <is>
          <t>kr</t>
        </is>
      </c>
      <c r="E11" s="24" t="inlineStr">
        <is>
          <t>Input. Hentast frå: 34xx (ikkje 344x avløysartilskot).</t>
        </is>
      </c>
      <c r="F11" s="32" t="n"/>
    </row>
    <row r="12">
      <c r="A12" s="20" t="inlineStr">
        <is>
          <t>Sal av gulrot</t>
        </is>
      </c>
      <c r="B12" s="24" t="inlineStr">
        <is>
          <t>3014</t>
        </is>
      </c>
      <c r="C12" s="31" t="n">
        <v>575000</v>
      </c>
      <c r="D12" s="12" t="inlineStr">
        <is>
          <t>kr</t>
        </is>
      </c>
      <c r="E12" s="24" t="inlineStr">
        <is>
          <t>Input. Hentast frå: 3014.</t>
        </is>
      </c>
      <c r="F12" s="32" t="n"/>
    </row>
    <row r="13">
      <c r="A13" s="20" t="inlineStr">
        <is>
          <t>Beholdningsendring ferdigvarer (+ = auke)</t>
        </is>
      </c>
      <c r="B13" s="24" t="inlineStr">
        <is>
          <t>4290-4298 (forteikn snudd)</t>
        </is>
      </c>
      <c r="C13" s="31" t="n">
        <v>10000</v>
      </c>
      <c r="D13" s="12" t="inlineStr">
        <is>
          <t>kr</t>
        </is>
      </c>
      <c r="E13" s="24" t="inlineStr">
        <is>
          <t>Input. Hentast frå: 4290-4298 (forteikn snudd).</t>
        </is>
      </c>
      <c r="F13" s="32" t="n"/>
    </row>
    <row r="14">
      <c r="A14" s="20" t="inlineStr">
        <is>
          <t>Andre inntekter</t>
        </is>
      </c>
      <c r="B14" s="24" t="inlineStr">
        <is>
          <t>andre 3xxx kopla til produksjonen</t>
        </is>
      </c>
      <c r="C14" s="31" t="n">
        <v>0</v>
      </c>
      <c r="D14" s="12" t="inlineStr">
        <is>
          <t>kr</t>
        </is>
      </c>
      <c r="E14" s="24" t="inlineStr">
        <is>
          <t>Input. Hentast frå: andre 3xxx kopla til produksjonen.</t>
        </is>
      </c>
      <c r="F14" s="32" t="n"/>
    </row>
    <row r="15">
      <c r="A15" s="18" t="inlineStr">
        <is>
          <t>Variable kostnader</t>
        </is>
      </c>
      <c r="B15" s="19" t="n"/>
      <c r="C15" s="19" t="n"/>
      <c r="D15" s="19" t="n"/>
      <c r="E15" s="19" t="n"/>
      <c r="F15" s="19" t="n"/>
    </row>
    <row r="16">
      <c r="A16" s="20" t="inlineStr">
        <is>
          <t>Gjødsel og kalk</t>
        </is>
      </c>
      <c r="B16" s="24" t="inlineStr">
        <is>
          <t>4050, 4057, 4095</t>
        </is>
      </c>
      <c r="C16" s="31" t="n">
        <v>17000</v>
      </c>
      <c r="D16" s="12" t="inlineStr">
        <is>
          <t>kr</t>
        </is>
      </c>
      <c r="E16" s="24" t="inlineStr">
        <is>
          <t>Input. Hentast frå: 4050, 4057, 4095.</t>
        </is>
      </c>
      <c r="F16" s="32" t="n"/>
    </row>
    <row r="17">
      <c r="A17" s="20" t="inlineStr">
        <is>
          <t>Plantevernmiddel</t>
        </is>
      </c>
      <c r="B17" s="24" t="inlineStr">
        <is>
          <t>4110, 4111, 4191</t>
        </is>
      </c>
      <c r="C17" s="31" t="n">
        <v>14000</v>
      </c>
      <c r="D17" s="12" t="inlineStr">
        <is>
          <t>kr</t>
        </is>
      </c>
      <c r="E17" s="24" t="inlineStr">
        <is>
          <t>Input. Hentast frå: 4110, 4111, 4191.</t>
        </is>
      </c>
      <c r="F17" s="32" t="n"/>
    </row>
    <row r="18">
      <c r="A18" s="20" t="inlineStr">
        <is>
          <t>Frø</t>
        </is>
      </c>
      <c r="B18" s="24" t="inlineStr">
        <is>
          <t>4012</t>
        </is>
      </c>
      <c r="C18" s="31" t="n">
        <v>30000</v>
      </c>
      <c r="D18" s="12" t="inlineStr">
        <is>
          <t>kr</t>
        </is>
      </c>
      <c r="E18" s="24" t="inlineStr">
        <is>
          <t>Input. Hentast frå: 4012.</t>
        </is>
      </c>
      <c r="F18" s="32" t="n"/>
    </row>
    <row r="19">
      <c r="A19" s="20" t="inlineStr">
        <is>
          <t>Emballasje</t>
        </is>
      </c>
      <c r="B19" s="24" t="inlineStr">
        <is>
          <t>4140-4142, 4194</t>
        </is>
      </c>
      <c r="C19" s="31" t="n">
        <v>45000</v>
      </c>
      <c r="D19" s="12" t="inlineStr">
        <is>
          <t>kr</t>
        </is>
      </c>
      <c r="E19" s="24" t="inlineStr">
        <is>
          <t>Input. Hentast frå: 4140-4142, 4194.</t>
        </is>
      </c>
      <c r="F19" s="32" t="n"/>
    </row>
    <row r="20">
      <c r="A20" s="20" t="inlineStr">
        <is>
          <t>Andre variable kostnader</t>
        </is>
      </c>
      <c r="B20" s="24" t="inlineStr">
        <is>
          <t>4540-4549, 4160 + andre 4xxx</t>
        </is>
      </c>
      <c r="C20" s="31" t="n">
        <v>40000</v>
      </c>
      <c r="D20" s="12" t="inlineStr">
        <is>
          <t>kr</t>
        </is>
      </c>
      <c r="E20" s="24" t="inlineStr">
        <is>
          <t>Input. Hentast frå: 4540-4549, 4160 + andre 4xxx.</t>
        </is>
      </c>
      <c r="F20" s="32" t="n"/>
    </row>
    <row r="21">
      <c r="A21" s="18" t="inlineStr">
        <is>
          <t>3. INPUT – Fordelte faste kostnader (lenka frå arket «Faste kostnader»)</t>
        </is>
      </c>
      <c r="B21" s="19" t="n"/>
      <c r="C21" s="19" t="n"/>
      <c r="D21" s="19" t="n"/>
      <c r="E21" s="19" t="n"/>
      <c r="F21" s="19" t="n"/>
    </row>
    <row r="22">
      <c r="A22" s="20" t="inlineStr">
        <is>
          <t>Maskinkostnader fordelt</t>
        </is>
      </c>
      <c r="B22" s="21" t="inlineStr">
        <is>
          <t>Lenkje frå anna ark</t>
        </is>
      </c>
      <c r="C22" s="13">
        <f>'Faste kostnader'!C44</f>
        <v/>
      </c>
      <c r="D22" s="12" t="inlineStr">
        <is>
          <t>kr</t>
        </is>
      </c>
      <c r="E22" s="23" t="inlineStr">
        <is>
          <t>Maskinkostnader fordelt = Maskinkostnader – Gulrot [Faste kostnader!C44]</t>
        </is>
      </c>
      <c r="F22" s="24" t="inlineStr">
        <is>
          <t>='Faste kostnader'!C44</t>
        </is>
      </c>
    </row>
    <row r="23">
      <c r="A23" s="18" t="inlineStr">
        <is>
          <t>4. UTREKNING – Totalt for produksjonen</t>
        </is>
      </c>
      <c r="B23" s="19" t="n"/>
      <c r="C23" s="19" t="n"/>
      <c r="D23" s="19" t="n"/>
      <c r="E23" s="19" t="n"/>
      <c r="F23" s="19" t="n"/>
    </row>
    <row r="24">
      <c r="A24" s="20" t="inlineStr">
        <is>
          <t>Produksjonsinntekter i alt</t>
        </is>
      </c>
      <c r="B24" s="21" t="inlineStr">
        <is>
          <t>Utrekna</t>
        </is>
      </c>
      <c r="C24" s="22">
        <f>C12+C13+C14</f>
        <v/>
      </c>
      <c r="D24" s="12" t="inlineStr">
        <is>
          <t>kr</t>
        </is>
      </c>
      <c r="E24" s="23" t="inlineStr">
        <is>
          <t>Produksjonsinntekter i alt = Sal av gulrot [C12] + Beholdningsendring ferdigvarer (+ = auke) [C13] + Andre inntekter [C14]</t>
        </is>
      </c>
      <c r="F24" s="24" t="inlineStr">
        <is>
          <t>=C12+C13+C14</t>
        </is>
      </c>
    </row>
    <row r="25">
      <c r="A25" s="20" t="inlineStr">
        <is>
          <t>Variable kostnader i alt</t>
        </is>
      </c>
      <c r="B25" s="21" t="inlineStr">
        <is>
          <t>Utrekna</t>
        </is>
      </c>
      <c r="C25" s="22">
        <f>C16+C17+C18+C19+C20</f>
        <v/>
      </c>
      <c r="D25" s="12" t="inlineStr">
        <is>
          <t>kr</t>
        </is>
      </c>
      <c r="E25" s="23" t="inlineStr">
        <is>
          <t>Variable kostnader i alt = Gjødsel og kalk [C16] + Plantevernmiddel [C17] + Frø [C18] + Emballasje [C19] + Andre variable kostnader [C20]</t>
        </is>
      </c>
      <c r="F25" s="24" t="inlineStr">
        <is>
          <t>=C16+C17+C18+C19+C20</t>
        </is>
      </c>
    </row>
    <row r="26">
      <c r="A26" s="25" t="inlineStr">
        <is>
          <t>Dekningsbidrag (DB) utan tilskot</t>
        </is>
      </c>
      <c r="B26" s="26" t="inlineStr">
        <is>
          <t>Utrekna</t>
        </is>
      </c>
      <c r="C26" s="27">
        <f>C24-C25</f>
        <v/>
      </c>
      <c r="D26" s="28" t="inlineStr">
        <is>
          <t>kr</t>
        </is>
      </c>
      <c r="E26" s="29" t="inlineStr">
        <is>
          <t>Dekningsbidrag (DB) utan tilskot = Produksjonsinntekter i alt [C24] − Variable kostnader i alt [C25]</t>
        </is>
      </c>
      <c r="F26" s="30" t="inlineStr">
        <is>
          <t>=C24-C25</t>
        </is>
      </c>
    </row>
    <row r="27">
      <c r="A27" s="25" t="inlineStr">
        <is>
          <t>Dekningsbidrag (DB) med tilskot</t>
        </is>
      </c>
      <c r="B27" s="26" t="inlineStr">
        <is>
          <t>Utrekna</t>
        </is>
      </c>
      <c r="C27" s="27">
        <f>C26+C11</f>
        <v/>
      </c>
      <c r="D27" s="28" t="inlineStr">
        <is>
          <t>kr</t>
        </is>
      </c>
      <c r="E27" s="29" t="inlineStr">
        <is>
          <t>Dekningsbidrag (DB) med tilskot = Dekningsbidrag (DB) utan tilskot [C26] + Produksjonstilskot fordelt på produksjonen [C11]</t>
        </is>
      </c>
      <c r="F27" s="30" t="inlineStr">
        <is>
          <t>=C26+C11</t>
        </is>
      </c>
    </row>
    <row r="28">
      <c r="A28" s="20" t="inlineStr">
        <is>
          <t>DB m/tilskot etter maskinkostnader</t>
        </is>
      </c>
      <c r="B28" s="21" t="inlineStr">
        <is>
          <t>Utrekna</t>
        </is>
      </c>
      <c r="C28" s="22">
        <f>C27-C22</f>
        <v/>
      </c>
      <c r="D28" s="12" t="inlineStr">
        <is>
          <t>kr</t>
        </is>
      </c>
      <c r="E28" s="23" t="inlineStr">
        <is>
          <t>DB m/tilskot etter maskinkostnader = Dekningsbidrag (DB) med tilskot [C27] − Maskinkostnader fordelt [C22]</t>
        </is>
      </c>
      <c r="F28" s="24" t="inlineStr">
        <is>
          <t>=C27-C22</t>
        </is>
      </c>
    </row>
    <row r="29">
      <c r="A29" s="18" t="inlineStr">
        <is>
          <t>5. OUTPUT – Per eining (pr dekar)</t>
        </is>
      </c>
      <c r="B29" s="19" t="n"/>
      <c r="C29" s="19" t="n"/>
      <c r="D29" s="19" t="n"/>
      <c r="E29" s="19" t="n"/>
      <c r="F29" s="19" t="n"/>
    </row>
    <row r="30">
      <c r="A30" s="18" t="inlineStr">
        <is>
          <t>Produksjonsinntekter pr dekar</t>
        </is>
      </c>
      <c r="B30" s="19" t="n"/>
      <c r="C30" s="19" t="n"/>
      <c r="D30" s="19" t="n"/>
      <c r="E30" s="19" t="n"/>
      <c r="F30" s="19" t="n"/>
    </row>
    <row r="31">
      <c r="A31" s="20" t="inlineStr">
        <is>
          <t>Sal av gulrot</t>
        </is>
      </c>
      <c r="B31" s="21" t="inlineStr">
        <is>
          <t>Utrekna</t>
        </is>
      </c>
      <c r="C31" s="38">
        <f>IF((C7)=0,0,(C12)/(C7))</f>
        <v/>
      </c>
      <c r="D31" s="12" t="inlineStr">
        <is>
          <t>kr</t>
        </is>
      </c>
      <c r="E31" s="23" t="inlineStr">
        <is>
          <t>Sal av gulrot = Sal av gulrot [C12] ÷ Tal dekar [C7]</t>
        </is>
      </c>
      <c r="F31" s="24" t="inlineStr">
        <is>
          <t>=IF((C7)=0,0,(C12)/(C7))</t>
        </is>
      </c>
    </row>
    <row r="32">
      <c r="A32" s="20" t="inlineStr">
        <is>
          <t>Beholdningsendring ferdigvarer (+ = auke)</t>
        </is>
      </c>
      <c r="B32" s="21" t="inlineStr">
        <is>
          <t>Utrekna</t>
        </is>
      </c>
      <c r="C32" s="38">
        <f>IF((C7)=0,0,(C13)/(C7))</f>
        <v/>
      </c>
      <c r="D32" s="12" t="inlineStr">
        <is>
          <t>kr</t>
        </is>
      </c>
      <c r="E32" s="23" t="inlineStr">
        <is>
          <t>Beholdningsendring ferdigvarer (+ = auke) = Beholdningsendring ferdigvarer (+ = auke) [C13] ÷ Tal dekar [C7]</t>
        </is>
      </c>
      <c r="F32" s="24" t="inlineStr">
        <is>
          <t>=IF((C7)=0,0,(C13)/(C7))</t>
        </is>
      </c>
    </row>
    <row r="33">
      <c r="A33" s="20" t="inlineStr">
        <is>
          <t>Andre inntekter</t>
        </is>
      </c>
      <c r="B33" s="21" t="inlineStr">
        <is>
          <t>Utrekna</t>
        </is>
      </c>
      <c r="C33" s="38">
        <f>IF((C7)=0,0,(C14)/(C7))</f>
        <v/>
      </c>
      <c r="D33" s="12" t="inlineStr">
        <is>
          <t>kr</t>
        </is>
      </c>
      <c r="E33" s="23" t="inlineStr">
        <is>
          <t>Andre inntekter = Andre inntekter [C14] ÷ Tal dekar [C7]</t>
        </is>
      </c>
      <c r="F33" s="24" t="inlineStr">
        <is>
          <t>=IF((C7)=0,0,(C14)/(C7))</t>
        </is>
      </c>
    </row>
    <row r="34">
      <c r="A34" s="20" t="inlineStr">
        <is>
          <t>Produksjonsinntekter i alt</t>
        </is>
      </c>
      <c r="B34" s="21" t="inlineStr">
        <is>
          <t>Utrekna</t>
        </is>
      </c>
      <c r="C34" s="38">
        <f>IF((C7)=0,0,(C24)/(C7))</f>
        <v/>
      </c>
      <c r="D34" s="12" t="inlineStr">
        <is>
          <t>kr</t>
        </is>
      </c>
      <c r="E34" s="23" t="inlineStr">
        <is>
          <t>Produksjonsinntekter i alt = Produksjonsinntekter i alt [C24] ÷ Tal dekar [C7]</t>
        </is>
      </c>
      <c r="F34" s="24" t="inlineStr">
        <is>
          <t>=IF((C7)=0,0,(C24)/(C7))</t>
        </is>
      </c>
    </row>
    <row r="35">
      <c r="A35" s="18" t="inlineStr">
        <is>
          <t>Variable kostnader pr dekar</t>
        </is>
      </c>
      <c r="B35" s="19" t="n"/>
      <c r="C35" s="19" t="n"/>
      <c r="D35" s="19" t="n"/>
      <c r="E35" s="19" t="n"/>
      <c r="F35" s="19" t="n"/>
    </row>
    <row r="36">
      <c r="A36" s="20" t="inlineStr">
        <is>
          <t>Gjødsel og kalk</t>
        </is>
      </c>
      <c r="B36" s="21" t="inlineStr">
        <is>
          <t>Utrekna</t>
        </is>
      </c>
      <c r="C36" s="38">
        <f>IF((C7)=0,0,(C16)/(C7))</f>
        <v/>
      </c>
      <c r="D36" s="12" t="inlineStr">
        <is>
          <t>kr</t>
        </is>
      </c>
      <c r="E36" s="23" t="inlineStr">
        <is>
          <t>Gjødsel og kalk = Gjødsel og kalk [C16] ÷ Tal dekar [C7]</t>
        </is>
      </c>
      <c r="F36" s="24" t="inlineStr">
        <is>
          <t>=IF((C7)=0,0,(C16)/(C7))</t>
        </is>
      </c>
    </row>
    <row r="37">
      <c r="A37" s="20" t="inlineStr">
        <is>
          <t>Plantevernmiddel</t>
        </is>
      </c>
      <c r="B37" s="21" t="inlineStr">
        <is>
          <t>Utrekna</t>
        </is>
      </c>
      <c r="C37" s="38">
        <f>IF((C7)=0,0,(C17)/(C7))</f>
        <v/>
      </c>
      <c r="D37" s="12" t="inlineStr">
        <is>
          <t>kr</t>
        </is>
      </c>
      <c r="E37" s="23" t="inlineStr">
        <is>
          <t>Plantevernmiddel = Plantevernmiddel [C17] ÷ Tal dekar [C7]</t>
        </is>
      </c>
      <c r="F37" s="24" t="inlineStr">
        <is>
          <t>=IF((C7)=0,0,(C17)/(C7))</t>
        </is>
      </c>
    </row>
    <row r="38">
      <c r="A38" s="20" t="inlineStr">
        <is>
          <t>Frø</t>
        </is>
      </c>
      <c r="B38" s="21" t="inlineStr">
        <is>
          <t>Utrekna</t>
        </is>
      </c>
      <c r="C38" s="38">
        <f>IF((C7)=0,0,(C18)/(C7))</f>
        <v/>
      </c>
      <c r="D38" s="12" t="inlineStr">
        <is>
          <t>kr</t>
        </is>
      </c>
      <c r="E38" s="23" t="inlineStr">
        <is>
          <t>Frø = Frø [C18] ÷ Tal dekar [C7]</t>
        </is>
      </c>
      <c r="F38" s="24" t="inlineStr">
        <is>
          <t>=IF((C7)=0,0,(C18)/(C7))</t>
        </is>
      </c>
    </row>
    <row r="39">
      <c r="A39" s="20" t="inlineStr">
        <is>
          <t>Emballasje</t>
        </is>
      </c>
      <c r="B39" s="21" t="inlineStr">
        <is>
          <t>Utrekna</t>
        </is>
      </c>
      <c r="C39" s="38">
        <f>IF((C7)=0,0,(C19)/(C7))</f>
        <v/>
      </c>
      <c r="D39" s="12" t="inlineStr">
        <is>
          <t>kr</t>
        </is>
      </c>
      <c r="E39" s="23" t="inlineStr">
        <is>
          <t>Emballasje = Emballasje [C19] ÷ Tal dekar [C7]</t>
        </is>
      </c>
      <c r="F39" s="24" t="inlineStr">
        <is>
          <t>=IF((C7)=0,0,(C19)/(C7))</t>
        </is>
      </c>
    </row>
    <row r="40">
      <c r="A40" s="20" t="inlineStr">
        <is>
          <t>Andre variable kostnader</t>
        </is>
      </c>
      <c r="B40" s="21" t="inlineStr">
        <is>
          <t>Utrekna</t>
        </is>
      </c>
      <c r="C40" s="38">
        <f>IF((C7)=0,0,(C20)/(C7))</f>
        <v/>
      </c>
      <c r="D40" s="12" t="inlineStr">
        <is>
          <t>kr</t>
        </is>
      </c>
      <c r="E40" s="23" t="inlineStr">
        <is>
          <t>Andre variable kostnader = Andre variable kostnader [C20] ÷ Tal dekar [C7]</t>
        </is>
      </c>
      <c r="F40" s="24" t="inlineStr">
        <is>
          <t>=IF((C7)=0,0,(C20)/(C7))</t>
        </is>
      </c>
    </row>
    <row r="41">
      <c r="A41" s="20" t="inlineStr">
        <is>
          <t>Sum variable kostnader</t>
        </is>
      </c>
      <c r="B41" s="21" t="inlineStr">
        <is>
          <t>Utrekna</t>
        </is>
      </c>
      <c r="C41" s="38">
        <f>IF((C7)=0,0,(C25)/(C7))</f>
        <v/>
      </c>
      <c r="D41" s="12" t="inlineStr">
        <is>
          <t>kr</t>
        </is>
      </c>
      <c r="E41" s="23" t="inlineStr">
        <is>
          <t>Sum variable kostnader = Variable kostnader i alt [C25] ÷ Tal dekar [C7]</t>
        </is>
      </c>
      <c r="F41" s="24" t="inlineStr">
        <is>
          <t>=IF((C7)=0,0,(C25)/(C7))</t>
        </is>
      </c>
    </row>
    <row r="42">
      <c r="A42" s="18" t="inlineStr">
        <is>
          <t>Resultat pr dekar</t>
        </is>
      </c>
      <c r="B42" s="19" t="n"/>
      <c r="C42" s="19" t="n"/>
      <c r="D42" s="19" t="n"/>
      <c r="E42" s="19" t="n"/>
      <c r="F42" s="19" t="n"/>
    </row>
    <row r="43">
      <c r="A43" s="20" t="inlineStr">
        <is>
          <t>DB utan tilskot</t>
        </is>
      </c>
      <c r="B43" s="21" t="inlineStr">
        <is>
          <t>Utrekna</t>
        </is>
      </c>
      <c r="C43" s="38">
        <f>IF((C7)=0,0,(C26)/(C7))</f>
        <v/>
      </c>
      <c r="D43" s="12" t="inlineStr">
        <is>
          <t>kr</t>
        </is>
      </c>
      <c r="E43" s="23" t="inlineStr">
        <is>
          <t>DB utan tilskot = Dekningsbidrag (DB) utan tilskot [C26] ÷ Tal dekar [C7]</t>
        </is>
      </c>
      <c r="F43" s="24" t="inlineStr">
        <is>
          <t>=IF((C7)=0,0,(C26)/(C7))</t>
        </is>
      </c>
    </row>
    <row r="44">
      <c r="A44" s="20" t="inlineStr">
        <is>
          <t>Tilskot</t>
        </is>
      </c>
      <c r="B44" s="21" t="inlineStr">
        <is>
          <t>Utrekna</t>
        </is>
      </c>
      <c r="C44" s="38">
        <f>IF((C7)=0,0,(C11)/(C7))</f>
        <v/>
      </c>
      <c r="D44" s="12" t="inlineStr">
        <is>
          <t>kr</t>
        </is>
      </c>
      <c r="E44" s="23" t="inlineStr">
        <is>
          <t>Tilskot = Produksjonstilskot fordelt på produksjonen [C11] ÷ Tal dekar [C7]</t>
        </is>
      </c>
      <c r="F44" s="24" t="inlineStr">
        <is>
          <t>=IF((C7)=0,0,(C11)/(C7))</t>
        </is>
      </c>
    </row>
    <row r="45">
      <c r="A45" s="20" t="inlineStr">
        <is>
          <t>DB med tilskot</t>
        </is>
      </c>
      <c r="B45" s="21" t="inlineStr">
        <is>
          <t>Utrekna</t>
        </is>
      </c>
      <c r="C45" s="38">
        <f>IF((C7)=0,0,(C27)/(C7))</f>
        <v/>
      </c>
      <c r="D45" s="12" t="inlineStr">
        <is>
          <t>kr</t>
        </is>
      </c>
      <c r="E45" s="23" t="inlineStr">
        <is>
          <t>DB med tilskot = Dekningsbidrag (DB) med tilskot [C27] ÷ Tal dekar [C7]</t>
        </is>
      </c>
      <c r="F45" s="24" t="inlineStr">
        <is>
          <t>=IF((C7)=0,0,(C27)/(C7))</t>
        </is>
      </c>
    </row>
    <row r="46">
      <c r="A46" s="20" t="inlineStr">
        <is>
          <t>Maskinkostnader</t>
        </is>
      </c>
      <c r="B46" s="21" t="inlineStr">
        <is>
          <t>Utrekna</t>
        </is>
      </c>
      <c r="C46" s="38">
        <f>IF((C7)=0,0,(C22)/(C7))</f>
        <v/>
      </c>
      <c r="D46" s="12" t="inlineStr">
        <is>
          <t>kr</t>
        </is>
      </c>
      <c r="E46" s="23" t="inlineStr">
        <is>
          <t>Maskinkostnader = Maskinkostnader fordelt [C22] ÷ Tal dekar [C7]</t>
        </is>
      </c>
      <c r="F46" s="24" t="inlineStr">
        <is>
          <t>=IF((C7)=0,0,(C22)/(C7))</t>
        </is>
      </c>
    </row>
    <row r="47">
      <c r="A47" s="20" t="inlineStr">
        <is>
          <t>DB m/tilskot etter maskinkostnader</t>
        </is>
      </c>
      <c r="B47" s="21" t="inlineStr">
        <is>
          <t>Utrekna</t>
        </is>
      </c>
      <c r="C47" s="38">
        <f>IF((C7)=0,0,(C28)/(C7))</f>
        <v/>
      </c>
      <c r="D47" s="12" t="inlineStr">
        <is>
          <t>kr</t>
        </is>
      </c>
      <c r="E47" s="23" t="inlineStr">
        <is>
          <t>DB m/tilskot etter maskinkostnader = DB m/tilskot etter maskinkostnader [C28] ÷ Tal dekar [C7]</t>
        </is>
      </c>
      <c r="F47" s="24" t="inlineStr">
        <is>
          <t>=IF((C7)=0,0,(C28)/(C7))</t>
        </is>
      </c>
    </row>
    <row r="48">
      <c r="A48" s="18" t="inlineStr">
        <is>
          <t>6. OUTPUT – Nøkkeltal</t>
        </is>
      </c>
      <c r="B48" s="19" t="n"/>
      <c r="C48" s="19" t="n"/>
      <c r="D48" s="19" t="n"/>
      <c r="E48" s="19" t="n"/>
      <c r="F48" s="19" t="n"/>
    </row>
    <row r="49">
      <c r="A49" s="25" t="inlineStr">
        <is>
          <t>DB pr dekar u/tilskot</t>
        </is>
      </c>
      <c r="B49" s="26" t="inlineStr">
        <is>
          <t>Utrekna</t>
        </is>
      </c>
      <c r="C49" s="39">
        <f>IF((C7)=0,0,(C26)/(C7))</f>
        <v/>
      </c>
      <c r="D49" s="28" t="inlineStr">
        <is>
          <t>kr</t>
        </is>
      </c>
      <c r="E49" s="29" t="inlineStr">
        <is>
          <t>DB pr dekar u/tilskot = Dekningsbidrag (DB) utan tilskot [C26] ÷ Tal dekar [C7]</t>
        </is>
      </c>
      <c r="F49" s="30" t="inlineStr">
        <is>
          <t>=IF((C7)=0,0,(C26)/(C7))</t>
        </is>
      </c>
    </row>
    <row r="50">
      <c r="A50" s="25" t="inlineStr">
        <is>
          <t>DB pr dekar m/tilskot</t>
        </is>
      </c>
      <c r="B50" s="26" t="inlineStr">
        <is>
          <t>Utrekna</t>
        </is>
      </c>
      <c r="C50" s="39">
        <f>IF((C7)=0,0,(C27)/(C7))</f>
        <v/>
      </c>
      <c r="D50" s="28" t="inlineStr">
        <is>
          <t>kr</t>
        </is>
      </c>
      <c r="E50" s="29" t="inlineStr">
        <is>
          <t>DB pr dekar m/tilskot = Dekningsbidrag (DB) med tilskot [C27] ÷ Tal dekar [C7]</t>
        </is>
      </c>
      <c r="F50" s="30" t="inlineStr">
        <is>
          <t>=IF((C7)=0,0,(C27)/(C7))</t>
        </is>
      </c>
    </row>
    <row r="51">
      <c r="A51" s="25" t="inlineStr">
        <is>
          <t>Oppnådd pris pr kg</t>
        </is>
      </c>
      <c r="B51" s="26" t="inlineStr">
        <is>
          <t>Utrekna</t>
        </is>
      </c>
      <c r="C51" s="39">
        <f>IF((C9)=0,0,(C12)/(C9))</f>
        <v/>
      </c>
      <c r="D51" s="28" t="inlineStr">
        <is>
          <t>kr</t>
        </is>
      </c>
      <c r="E51" s="29" t="inlineStr">
        <is>
          <t>Oppnådd pris pr kg = Sal av gulrot [C12] ÷ Seld mengd [C9]</t>
        </is>
      </c>
      <c r="F51" s="30" t="inlineStr">
        <is>
          <t>=IF((C9)=0,0,(C12)/(C9))</t>
        </is>
      </c>
    </row>
    <row r="52">
      <c r="A52" s="25" t="inlineStr">
        <is>
          <t>Avling pr dekar (kg)</t>
        </is>
      </c>
      <c r="B52" s="26" t="inlineStr">
        <is>
          <t>Utrekna</t>
        </is>
      </c>
      <c r="C52" s="37">
        <f>IF((C7)=0,0,(C8)/(C7))</f>
        <v/>
      </c>
      <c r="D52" s="28" t="inlineStr">
        <is>
          <t>kg</t>
        </is>
      </c>
      <c r="E52" s="29" t="inlineStr">
        <is>
          <t>Avling pr dekar (kg) = Avling totalt [C8] ÷ Tal dekar [C7]</t>
        </is>
      </c>
      <c r="F52" s="30" t="inlineStr">
        <is>
          <t>=IF((C7)=0,0,(C8)/(C7))</t>
        </is>
      </c>
    </row>
    <row r="53">
      <c r="A53" s="25" t="inlineStr">
        <is>
          <t>Maskinkostnader pr dekar</t>
        </is>
      </c>
      <c r="B53" s="26" t="inlineStr">
        <is>
          <t>Utrekna</t>
        </is>
      </c>
      <c r="C53" s="39">
        <f>IF((C7)=0,0,(C22)/(C7))</f>
        <v/>
      </c>
      <c r="D53" s="28" t="inlineStr">
        <is>
          <t>kr</t>
        </is>
      </c>
      <c r="E53" s="29" t="inlineStr">
        <is>
          <t>Maskinkostnader pr dekar = Maskinkostnader fordelt [C22] ÷ Tal dekar [C7]</t>
        </is>
      </c>
      <c r="F53" s="30" t="inlineStr">
        <is>
          <t>=IF((C7)=0,0,(C22)/(C7))</t>
        </is>
      </c>
    </row>
    <row r="54">
      <c r="A54" s="25" t="inlineStr">
        <is>
          <t>DB etter maskinkostnader pr dekar</t>
        </is>
      </c>
      <c r="B54" s="26" t="inlineStr">
        <is>
          <t>Utrekna</t>
        </is>
      </c>
      <c r="C54" s="39">
        <f>IF((C7)=0,0,(C28)/(C7))</f>
        <v/>
      </c>
      <c r="D54" s="28" t="inlineStr">
        <is>
          <t>kr</t>
        </is>
      </c>
      <c r="E54" s="29" t="inlineStr">
        <is>
          <t>DB etter maskinkostnader pr dekar = DB m/tilskot etter maskinkostnader [C28] ÷ Tal dekar [C7]</t>
        </is>
      </c>
      <c r="F54" s="30" t="inlineStr">
        <is>
          <t>=IF((C7)=0,0,(C28)/(C7))</t>
        </is>
      </c>
    </row>
  </sheetData>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F54"/>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0" customWidth="1" min="1" max="1"/>
    <col width="34" customWidth="1" min="2" max="2"/>
    <col width="16" customWidth="1" min="3" max="3"/>
    <col width="10" customWidth="1" min="4" max="4"/>
    <col width="78" customWidth="1" min="5" max="5"/>
    <col width="46" customWidth="1" min="6" max="6"/>
  </cols>
  <sheetData>
    <row r="1" ht="22" customHeight="1">
      <c r="A1" s="1" t="inlineStr">
        <is>
          <t>Kålrot  –  driftsgrein 2280-2282</t>
        </is>
      </c>
    </row>
    <row r="2">
      <c r="A2" s="7" t="inlineStr">
        <is>
          <t>Kålrot (driftsgrein 2280–2282).</t>
        </is>
      </c>
    </row>
    <row r="3">
      <c r="A3" s="8" t="inlineStr">
        <is>
          <t>Fargekodar:  blå tal på gul botn = input (skal fyllast inn)   ·   svart = formel   ·   grøn = lenkje frå anna ark.   Alle kronebeløp er positive (inntekt og kostnad).</t>
        </is>
      </c>
    </row>
    <row r="5">
      <c r="A5" s="17" t="inlineStr">
        <is>
          <t>Post</t>
        </is>
      </c>
      <c r="B5" s="17" t="inlineStr">
        <is>
          <t>Kjelde / Tripletex-konto</t>
        </is>
      </c>
      <c r="C5" s="17" t="inlineStr">
        <is>
          <t>Verdi</t>
        </is>
      </c>
      <c r="D5" s="17" t="inlineStr">
        <is>
          <t>Eining</t>
        </is>
      </c>
      <c r="E5" s="17" t="inlineStr">
        <is>
          <t>Formel forklart (korleis outputen blir rekna)</t>
        </is>
      </c>
      <c r="F5" s="17" t="inlineStr">
        <is>
          <t>Excel-formel</t>
        </is>
      </c>
    </row>
    <row r="6">
      <c r="A6" s="18" t="inlineStr">
        <is>
          <t>1. INPUT – Produksjonsdata</t>
        </is>
      </c>
      <c r="B6" s="19" t="n"/>
      <c r="C6" s="19" t="n"/>
      <c r="D6" s="19" t="n"/>
      <c r="E6" s="19" t="n"/>
      <c r="F6" s="19" t="n"/>
    </row>
    <row r="7">
      <c r="A7" s="20" t="inlineStr">
        <is>
          <t>Tal dekar</t>
        </is>
      </c>
      <c r="B7" s="24" t="inlineStr">
        <is>
          <t>Produksjonstabell / søknad om produksjonstilskot</t>
        </is>
      </c>
      <c r="C7" s="31" t="n">
        <v>15</v>
      </c>
      <c r="D7" s="12" t="inlineStr">
        <is>
          <t>da</t>
        </is>
      </c>
      <c r="E7" s="24" t="inlineStr">
        <is>
          <t>Input. Hentast frå: Produksjonstabell / søknad om produksjonstilskot.</t>
        </is>
      </c>
      <c r="F7" s="32" t="n"/>
    </row>
    <row r="8">
      <c r="A8" s="20" t="inlineStr">
        <is>
          <t>Avling totalt</t>
        </is>
      </c>
      <c r="B8" s="24" t="inlineStr">
        <is>
          <t>Produksjonstabell / avlingsregistrering</t>
        </is>
      </c>
      <c r="C8" s="31" t="n">
        <v>60000</v>
      </c>
      <c r="D8" s="12" t="inlineStr">
        <is>
          <t>kg</t>
        </is>
      </c>
      <c r="E8" s="24" t="inlineStr">
        <is>
          <t>Input. Hentast frå: Produksjonstabell / avlingsregistrering.</t>
        </is>
      </c>
      <c r="F8" s="32" t="n"/>
    </row>
    <row r="9">
      <c r="A9" s="20" t="inlineStr">
        <is>
          <t>Seld mengd</t>
        </is>
      </c>
      <c r="B9" s="24" t="inlineStr">
        <is>
          <t>Mengde 1/2 på salskonto (3013, 3015 (kopla til kålrot))</t>
        </is>
      </c>
      <c r="C9" s="31" t="n">
        <v>55000</v>
      </c>
      <c r="D9" s="12" t="inlineStr">
        <is>
          <t>kg</t>
        </is>
      </c>
      <c r="E9" s="24" t="inlineStr">
        <is>
          <t>Input. Hentast frå: Mengde 1/2 på salskonto (3013, 3015 (kopla til kålrot)).</t>
        </is>
      </c>
      <c r="F9" s="32" t="n"/>
    </row>
    <row r="10">
      <c r="A10" s="18" t="inlineStr">
        <is>
          <t>2. INPUT – Rekneskapstal (kr) frå saldobalansen etter korrigeringar</t>
        </is>
      </c>
      <c r="B10" s="19" t="n"/>
      <c r="C10" s="19" t="n"/>
      <c r="D10" s="19" t="n"/>
      <c r="E10" s="19" t="n"/>
      <c r="F10" s="19" t="n"/>
    </row>
    <row r="11">
      <c r="A11" s="20" t="inlineStr">
        <is>
          <t>Produksjonstilskot fordelt på produksjonen</t>
        </is>
      </c>
      <c r="B11" s="24" t="inlineStr">
        <is>
          <t>34xx (ikkje 344x avløysartilskot)</t>
        </is>
      </c>
      <c r="C11" s="31" t="n">
        <v>20000</v>
      </c>
      <c r="D11" s="12" t="inlineStr">
        <is>
          <t>kr</t>
        </is>
      </c>
      <c r="E11" s="24" t="inlineStr">
        <is>
          <t>Input. Hentast frå: 34xx (ikkje 344x avløysartilskot).</t>
        </is>
      </c>
      <c r="F11" s="32" t="n"/>
    </row>
    <row r="12">
      <c r="A12" s="20" t="inlineStr">
        <is>
          <t>Sal av kålrot</t>
        </is>
      </c>
      <c r="B12" s="24" t="inlineStr">
        <is>
          <t>3013, 3015 (kopla til kålrot)</t>
        </is>
      </c>
      <c r="C12" s="31" t="n">
        <v>357500</v>
      </c>
      <c r="D12" s="12" t="inlineStr">
        <is>
          <t>kr</t>
        </is>
      </c>
      <c r="E12" s="24" t="inlineStr">
        <is>
          <t>Input. Hentast frå: 3013, 3015 (kopla til kålrot).</t>
        </is>
      </c>
      <c r="F12" s="32" t="n"/>
    </row>
    <row r="13">
      <c r="A13" s="20" t="inlineStr">
        <is>
          <t>Beholdningsendring ferdigvarer (+ = auke)</t>
        </is>
      </c>
      <c r="B13" s="24" t="inlineStr">
        <is>
          <t>4290-4298 (forteikn snudd)</t>
        </is>
      </c>
      <c r="C13" s="31" t="n">
        <v>0</v>
      </c>
      <c r="D13" s="12" t="inlineStr">
        <is>
          <t>kr</t>
        </is>
      </c>
      <c r="E13" s="24" t="inlineStr">
        <is>
          <t>Input. Hentast frå: 4290-4298 (forteikn snudd).</t>
        </is>
      </c>
      <c r="F13" s="32" t="n"/>
    </row>
    <row r="14">
      <c r="A14" s="20" t="inlineStr">
        <is>
          <t>Andre inntekter</t>
        </is>
      </c>
      <c r="B14" s="24" t="inlineStr">
        <is>
          <t>andre 3xxx kopla til produksjonen</t>
        </is>
      </c>
      <c r="C14" s="31" t="n">
        <v>0</v>
      </c>
      <c r="D14" s="12" t="inlineStr">
        <is>
          <t>kr</t>
        </is>
      </c>
      <c r="E14" s="24" t="inlineStr">
        <is>
          <t>Input. Hentast frå: andre 3xxx kopla til produksjonen.</t>
        </is>
      </c>
      <c r="F14" s="32" t="n"/>
    </row>
    <row r="15">
      <c r="A15" s="18" t="inlineStr">
        <is>
          <t>Variable kostnader</t>
        </is>
      </c>
      <c r="B15" s="19" t="n"/>
      <c r="C15" s="19" t="n"/>
      <c r="D15" s="19" t="n"/>
      <c r="E15" s="19" t="n"/>
      <c r="F15" s="19" t="n"/>
    </row>
    <row r="16">
      <c r="A16" s="20" t="inlineStr">
        <is>
          <t>Gjødsel og kalk</t>
        </is>
      </c>
      <c r="B16" s="24" t="inlineStr">
        <is>
          <t>4050, 4057, 4095</t>
        </is>
      </c>
      <c r="C16" s="31" t="n">
        <v>10000</v>
      </c>
      <c r="D16" s="12" t="inlineStr">
        <is>
          <t>kr</t>
        </is>
      </c>
      <c r="E16" s="24" t="inlineStr">
        <is>
          <t>Input. Hentast frå: 4050, 4057, 4095.</t>
        </is>
      </c>
      <c r="F16" s="32" t="n"/>
    </row>
    <row r="17">
      <c r="A17" s="20" t="inlineStr">
        <is>
          <t>Plantevernmiddel</t>
        </is>
      </c>
      <c r="B17" s="24" t="inlineStr">
        <is>
          <t>4110, 4111, 4191</t>
        </is>
      </c>
      <c r="C17" s="31" t="n">
        <v>7000</v>
      </c>
      <c r="D17" s="12" t="inlineStr">
        <is>
          <t>kr</t>
        </is>
      </c>
      <c r="E17" s="24" t="inlineStr">
        <is>
          <t>Input. Hentast frå: 4110, 4111, 4191.</t>
        </is>
      </c>
      <c r="F17" s="32" t="n"/>
    </row>
    <row r="18">
      <c r="A18" s="20" t="inlineStr">
        <is>
          <t>Frø</t>
        </is>
      </c>
      <c r="B18" s="24" t="inlineStr">
        <is>
          <t>4012</t>
        </is>
      </c>
      <c r="C18" s="31" t="n">
        <v>9000</v>
      </c>
      <c r="D18" s="12" t="inlineStr">
        <is>
          <t>kr</t>
        </is>
      </c>
      <c r="E18" s="24" t="inlineStr">
        <is>
          <t>Input. Hentast frå: 4012.</t>
        </is>
      </c>
      <c r="F18" s="32" t="n"/>
    </row>
    <row r="19">
      <c r="A19" s="20" t="inlineStr">
        <is>
          <t>Emballasje</t>
        </is>
      </c>
      <c r="B19" s="24" t="inlineStr">
        <is>
          <t>4140-4142, 4194</t>
        </is>
      </c>
      <c r="C19" s="31" t="n">
        <v>20000</v>
      </c>
      <c r="D19" s="12" t="inlineStr">
        <is>
          <t>kr</t>
        </is>
      </c>
      <c r="E19" s="24" t="inlineStr">
        <is>
          <t>Input. Hentast frå: 4140-4142, 4194.</t>
        </is>
      </c>
      <c r="F19" s="32" t="n"/>
    </row>
    <row r="20">
      <c r="A20" s="20" t="inlineStr">
        <is>
          <t>Andre variable kostnader</t>
        </is>
      </c>
      <c r="B20" s="24" t="inlineStr">
        <is>
          <t>4540-4549, 4160 + andre 4xxx</t>
        </is>
      </c>
      <c r="C20" s="31" t="n">
        <v>15000</v>
      </c>
      <c r="D20" s="12" t="inlineStr">
        <is>
          <t>kr</t>
        </is>
      </c>
      <c r="E20" s="24" t="inlineStr">
        <is>
          <t>Input. Hentast frå: 4540-4549, 4160 + andre 4xxx.</t>
        </is>
      </c>
      <c r="F20" s="32" t="n"/>
    </row>
    <row r="21">
      <c r="A21" s="18" t="inlineStr">
        <is>
          <t>3. INPUT – Fordelte faste kostnader (lenka frå arket «Faste kostnader»)</t>
        </is>
      </c>
      <c r="B21" s="19" t="n"/>
      <c r="C21" s="19" t="n"/>
      <c r="D21" s="19" t="n"/>
      <c r="E21" s="19" t="n"/>
      <c r="F21" s="19" t="n"/>
    </row>
    <row r="22">
      <c r="A22" s="20" t="inlineStr">
        <is>
          <t>Maskinkostnader fordelt</t>
        </is>
      </c>
      <c r="B22" s="21" t="inlineStr">
        <is>
          <t>Lenkje frå anna ark</t>
        </is>
      </c>
      <c r="C22" s="13">
        <f>'Faste kostnader'!C45</f>
        <v/>
      </c>
      <c r="D22" s="12" t="inlineStr">
        <is>
          <t>kr</t>
        </is>
      </c>
      <c r="E22" s="23" t="inlineStr">
        <is>
          <t>Maskinkostnader fordelt = Maskinkostnader – Kålrot [Faste kostnader!C45]</t>
        </is>
      </c>
      <c r="F22" s="24" t="inlineStr">
        <is>
          <t>='Faste kostnader'!C45</t>
        </is>
      </c>
    </row>
    <row r="23">
      <c r="A23" s="18" t="inlineStr">
        <is>
          <t>4. UTREKNING – Totalt for produksjonen</t>
        </is>
      </c>
      <c r="B23" s="19" t="n"/>
      <c r="C23" s="19" t="n"/>
      <c r="D23" s="19" t="n"/>
      <c r="E23" s="19" t="n"/>
      <c r="F23" s="19" t="n"/>
    </row>
    <row r="24">
      <c r="A24" s="20" t="inlineStr">
        <is>
          <t>Produksjonsinntekter i alt</t>
        </is>
      </c>
      <c r="B24" s="21" t="inlineStr">
        <is>
          <t>Utrekna</t>
        </is>
      </c>
      <c r="C24" s="22">
        <f>C12+C13+C14</f>
        <v/>
      </c>
      <c r="D24" s="12" t="inlineStr">
        <is>
          <t>kr</t>
        </is>
      </c>
      <c r="E24" s="23" t="inlineStr">
        <is>
          <t>Produksjonsinntekter i alt = Sal av kålrot [C12] + Beholdningsendring ferdigvarer (+ = auke) [C13] + Andre inntekter [C14]</t>
        </is>
      </c>
      <c r="F24" s="24" t="inlineStr">
        <is>
          <t>=C12+C13+C14</t>
        </is>
      </c>
    </row>
    <row r="25">
      <c r="A25" s="20" t="inlineStr">
        <is>
          <t>Variable kostnader i alt</t>
        </is>
      </c>
      <c r="B25" s="21" t="inlineStr">
        <is>
          <t>Utrekna</t>
        </is>
      </c>
      <c r="C25" s="22">
        <f>C16+C17+C18+C19+C20</f>
        <v/>
      </c>
      <c r="D25" s="12" t="inlineStr">
        <is>
          <t>kr</t>
        </is>
      </c>
      <c r="E25" s="23" t="inlineStr">
        <is>
          <t>Variable kostnader i alt = Gjødsel og kalk [C16] + Plantevernmiddel [C17] + Frø [C18] + Emballasje [C19] + Andre variable kostnader [C20]</t>
        </is>
      </c>
      <c r="F25" s="24" t="inlineStr">
        <is>
          <t>=C16+C17+C18+C19+C20</t>
        </is>
      </c>
    </row>
    <row r="26">
      <c r="A26" s="25" t="inlineStr">
        <is>
          <t>Dekningsbidrag (DB) utan tilskot</t>
        </is>
      </c>
      <c r="B26" s="26" t="inlineStr">
        <is>
          <t>Utrekna</t>
        </is>
      </c>
      <c r="C26" s="27">
        <f>C24-C25</f>
        <v/>
      </c>
      <c r="D26" s="28" t="inlineStr">
        <is>
          <t>kr</t>
        </is>
      </c>
      <c r="E26" s="29" t="inlineStr">
        <is>
          <t>Dekningsbidrag (DB) utan tilskot = Produksjonsinntekter i alt [C24] − Variable kostnader i alt [C25]</t>
        </is>
      </c>
      <c r="F26" s="30" t="inlineStr">
        <is>
          <t>=C24-C25</t>
        </is>
      </c>
    </row>
    <row r="27">
      <c r="A27" s="25" t="inlineStr">
        <is>
          <t>Dekningsbidrag (DB) med tilskot</t>
        </is>
      </c>
      <c r="B27" s="26" t="inlineStr">
        <is>
          <t>Utrekna</t>
        </is>
      </c>
      <c r="C27" s="27">
        <f>C26+C11</f>
        <v/>
      </c>
      <c r="D27" s="28" t="inlineStr">
        <is>
          <t>kr</t>
        </is>
      </c>
      <c r="E27" s="29" t="inlineStr">
        <is>
          <t>Dekningsbidrag (DB) med tilskot = Dekningsbidrag (DB) utan tilskot [C26] + Produksjonstilskot fordelt på produksjonen [C11]</t>
        </is>
      </c>
      <c r="F27" s="30" t="inlineStr">
        <is>
          <t>=C26+C11</t>
        </is>
      </c>
    </row>
    <row r="28">
      <c r="A28" s="20" t="inlineStr">
        <is>
          <t>DB m/tilskot etter maskinkostnader</t>
        </is>
      </c>
      <c r="B28" s="21" t="inlineStr">
        <is>
          <t>Utrekna</t>
        </is>
      </c>
      <c r="C28" s="22">
        <f>C27-C22</f>
        <v/>
      </c>
      <c r="D28" s="12" t="inlineStr">
        <is>
          <t>kr</t>
        </is>
      </c>
      <c r="E28" s="23" t="inlineStr">
        <is>
          <t>DB m/tilskot etter maskinkostnader = Dekningsbidrag (DB) med tilskot [C27] − Maskinkostnader fordelt [C22]</t>
        </is>
      </c>
      <c r="F28" s="24" t="inlineStr">
        <is>
          <t>=C27-C22</t>
        </is>
      </c>
    </row>
    <row r="29">
      <c r="A29" s="18" t="inlineStr">
        <is>
          <t>5. OUTPUT – Per eining (pr dekar)</t>
        </is>
      </c>
      <c r="B29" s="19" t="n"/>
      <c r="C29" s="19" t="n"/>
      <c r="D29" s="19" t="n"/>
      <c r="E29" s="19" t="n"/>
      <c r="F29" s="19" t="n"/>
    </row>
    <row r="30">
      <c r="A30" s="18" t="inlineStr">
        <is>
          <t>Produksjonsinntekter pr dekar</t>
        </is>
      </c>
      <c r="B30" s="19" t="n"/>
      <c r="C30" s="19" t="n"/>
      <c r="D30" s="19" t="n"/>
      <c r="E30" s="19" t="n"/>
      <c r="F30" s="19" t="n"/>
    </row>
    <row r="31">
      <c r="A31" s="20" t="inlineStr">
        <is>
          <t>Sal av kålrot</t>
        </is>
      </c>
      <c r="B31" s="21" t="inlineStr">
        <is>
          <t>Utrekna</t>
        </is>
      </c>
      <c r="C31" s="38">
        <f>IF((C7)=0,0,(C12)/(C7))</f>
        <v/>
      </c>
      <c r="D31" s="12" t="inlineStr">
        <is>
          <t>kr</t>
        </is>
      </c>
      <c r="E31" s="23" t="inlineStr">
        <is>
          <t>Sal av kålrot = Sal av kålrot [C12] ÷ Tal dekar [C7]</t>
        </is>
      </c>
      <c r="F31" s="24" t="inlineStr">
        <is>
          <t>=IF((C7)=0,0,(C12)/(C7))</t>
        </is>
      </c>
    </row>
    <row r="32">
      <c r="A32" s="20" t="inlineStr">
        <is>
          <t>Beholdningsendring ferdigvarer (+ = auke)</t>
        </is>
      </c>
      <c r="B32" s="21" t="inlineStr">
        <is>
          <t>Utrekna</t>
        </is>
      </c>
      <c r="C32" s="38">
        <f>IF((C7)=0,0,(C13)/(C7))</f>
        <v/>
      </c>
      <c r="D32" s="12" t="inlineStr">
        <is>
          <t>kr</t>
        </is>
      </c>
      <c r="E32" s="23" t="inlineStr">
        <is>
          <t>Beholdningsendring ferdigvarer (+ = auke) = Beholdningsendring ferdigvarer (+ = auke) [C13] ÷ Tal dekar [C7]</t>
        </is>
      </c>
      <c r="F32" s="24" t="inlineStr">
        <is>
          <t>=IF((C7)=0,0,(C13)/(C7))</t>
        </is>
      </c>
    </row>
    <row r="33">
      <c r="A33" s="20" t="inlineStr">
        <is>
          <t>Andre inntekter</t>
        </is>
      </c>
      <c r="B33" s="21" t="inlineStr">
        <is>
          <t>Utrekna</t>
        </is>
      </c>
      <c r="C33" s="38">
        <f>IF((C7)=0,0,(C14)/(C7))</f>
        <v/>
      </c>
      <c r="D33" s="12" t="inlineStr">
        <is>
          <t>kr</t>
        </is>
      </c>
      <c r="E33" s="23" t="inlineStr">
        <is>
          <t>Andre inntekter = Andre inntekter [C14] ÷ Tal dekar [C7]</t>
        </is>
      </c>
      <c r="F33" s="24" t="inlineStr">
        <is>
          <t>=IF((C7)=0,0,(C14)/(C7))</t>
        </is>
      </c>
    </row>
    <row r="34">
      <c r="A34" s="20" t="inlineStr">
        <is>
          <t>Produksjonsinntekter i alt</t>
        </is>
      </c>
      <c r="B34" s="21" t="inlineStr">
        <is>
          <t>Utrekna</t>
        </is>
      </c>
      <c r="C34" s="38">
        <f>IF((C7)=0,0,(C24)/(C7))</f>
        <v/>
      </c>
      <c r="D34" s="12" t="inlineStr">
        <is>
          <t>kr</t>
        </is>
      </c>
      <c r="E34" s="23" t="inlineStr">
        <is>
          <t>Produksjonsinntekter i alt = Produksjonsinntekter i alt [C24] ÷ Tal dekar [C7]</t>
        </is>
      </c>
      <c r="F34" s="24" t="inlineStr">
        <is>
          <t>=IF((C7)=0,0,(C24)/(C7))</t>
        </is>
      </c>
    </row>
    <row r="35">
      <c r="A35" s="18" t="inlineStr">
        <is>
          <t>Variable kostnader pr dekar</t>
        </is>
      </c>
      <c r="B35" s="19" t="n"/>
      <c r="C35" s="19" t="n"/>
      <c r="D35" s="19" t="n"/>
      <c r="E35" s="19" t="n"/>
      <c r="F35" s="19" t="n"/>
    </row>
    <row r="36">
      <c r="A36" s="20" t="inlineStr">
        <is>
          <t>Gjødsel og kalk</t>
        </is>
      </c>
      <c r="B36" s="21" t="inlineStr">
        <is>
          <t>Utrekna</t>
        </is>
      </c>
      <c r="C36" s="38">
        <f>IF((C7)=0,0,(C16)/(C7))</f>
        <v/>
      </c>
      <c r="D36" s="12" t="inlineStr">
        <is>
          <t>kr</t>
        </is>
      </c>
      <c r="E36" s="23" t="inlineStr">
        <is>
          <t>Gjødsel og kalk = Gjødsel og kalk [C16] ÷ Tal dekar [C7]</t>
        </is>
      </c>
      <c r="F36" s="24" t="inlineStr">
        <is>
          <t>=IF((C7)=0,0,(C16)/(C7))</t>
        </is>
      </c>
    </row>
    <row r="37">
      <c r="A37" s="20" t="inlineStr">
        <is>
          <t>Plantevernmiddel</t>
        </is>
      </c>
      <c r="B37" s="21" t="inlineStr">
        <is>
          <t>Utrekna</t>
        </is>
      </c>
      <c r="C37" s="38">
        <f>IF((C7)=0,0,(C17)/(C7))</f>
        <v/>
      </c>
      <c r="D37" s="12" t="inlineStr">
        <is>
          <t>kr</t>
        </is>
      </c>
      <c r="E37" s="23" t="inlineStr">
        <is>
          <t>Plantevernmiddel = Plantevernmiddel [C17] ÷ Tal dekar [C7]</t>
        </is>
      </c>
      <c r="F37" s="24" t="inlineStr">
        <is>
          <t>=IF((C7)=0,0,(C17)/(C7))</t>
        </is>
      </c>
    </row>
    <row r="38">
      <c r="A38" s="20" t="inlineStr">
        <is>
          <t>Frø</t>
        </is>
      </c>
      <c r="B38" s="21" t="inlineStr">
        <is>
          <t>Utrekna</t>
        </is>
      </c>
      <c r="C38" s="38">
        <f>IF((C7)=0,0,(C18)/(C7))</f>
        <v/>
      </c>
      <c r="D38" s="12" t="inlineStr">
        <is>
          <t>kr</t>
        </is>
      </c>
      <c r="E38" s="23" t="inlineStr">
        <is>
          <t>Frø = Frø [C18] ÷ Tal dekar [C7]</t>
        </is>
      </c>
      <c r="F38" s="24" t="inlineStr">
        <is>
          <t>=IF((C7)=0,0,(C18)/(C7))</t>
        </is>
      </c>
    </row>
    <row r="39">
      <c r="A39" s="20" t="inlineStr">
        <is>
          <t>Emballasje</t>
        </is>
      </c>
      <c r="B39" s="21" t="inlineStr">
        <is>
          <t>Utrekna</t>
        </is>
      </c>
      <c r="C39" s="38">
        <f>IF((C7)=0,0,(C19)/(C7))</f>
        <v/>
      </c>
      <c r="D39" s="12" t="inlineStr">
        <is>
          <t>kr</t>
        </is>
      </c>
      <c r="E39" s="23" t="inlineStr">
        <is>
          <t>Emballasje = Emballasje [C19] ÷ Tal dekar [C7]</t>
        </is>
      </c>
      <c r="F39" s="24" t="inlineStr">
        <is>
          <t>=IF((C7)=0,0,(C19)/(C7))</t>
        </is>
      </c>
    </row>
    <row r="40">
      <c r="A40" s="20" t="inlineStr">
        <is>
          <t>Andre variable kostnader</t>
        </is>
      </c>
      <c r="B40" s="21" t="inlineStr">
        <is>
          <t>Utrekna</t>
        </is>
      </c>
      <c r="C40" s="38">
        <f>IF((C7)=0,0,(C20)/(C7))</f>
        <v/>
      </c>
      <c r="D40" s="12" t="inlineStr">
        <is>
          <t>kr</t>
        </is>
      </c>
      <c r="E40" s="23" t="inlineStr">
        <is>
          <t>Andre variable kostnader = Andre variable kostnader [C20] ÷ Tal dekar [C7]</t>
        </is>
      </c>
      <c r="F40" s="24" t="inlineStr">
        <is>
          <t>=IF((C7)=0,0,(C20)/(C7))</t>
        </is>
      </c>
    </row>
    <row r="41">
      <c r="A41" s="20" t="inlineStr">
        <is>
          <t>Sum variable kostnader</t>
        </is>
      </c>
      <c r="B41" s="21" t="inlineStr">
        <is>
          <t>Utrekna</t>
        </is>
      </c>
      <c r="C41" s="38">
        <f>IF((C7)=0,0,(C25)/(C7))</f>
        <v/>
      </c>
      <c r="D41" s="12" t="inlineStr">
        <is>
          <t>kr</t>
        </is>
      </c>
      <c r="E41" s="23" t="inlineStr">
        <is>
          <t>Sum variable kostnader = Variable kostnader i alt [C25] ÷ Tal dekar [C7]</t>
        </is>
      </c>
      <c r="F41" s="24" t="inlineStr">
        <is>
          <t>=IF((C7)=0,0,(C25)/(C7))</t>
        </is>
      </c>
    </row>
    <row r="42">
      <c r="A42" s="18" t="inlineStr">
        <is>
          <t>Resultat pr dekar</t>
        </is>
      </c>
      <c r="B42" s="19" t="n"/>
      <c r="C42" s="19" t="n"/>
      <c r="D42" s="19" t="n"/>
      <c r="E42" s="19" t="n"/>
      <c r="F42" s="19" t="n"/>
    </row>
    <row r="43">
      <c r="A43" s="20" t="inlineStr">
        <is>
          <t>DB utan tilskot</t>
        </is>
      </c>
      <c r="B43" s="21" t="inlineStr">
        <is>
          <t>Utrekna</t>
        </is>
      </c>
      <c r="C43" s="38">
        <f>IF((C7)=0,0,(C26)/(C7))</f>
        <v/>
      </c>
      <c r="D43" s="12" t="inlineStr">
        <is>
          <t>kr</t>
        </is>
      </c>
      <c r="E43" s="23" t="inlineStr">
        <is>
          <t>DB utan tilskot = Dekningsbidrag (DB) utan tilskot [C26] ÷ Tal dekar [C7]</t>
        </is>
      </c>
      <c r="F43" s="24" t="inlineStr">
        <is>
          <t>=IF((C7)=0,0,(C26)/(C7))</t>
        </is>
      </c>
    </row>
    <row r="44">
      <c r="A44" s="20" t="inlineStr">
        <is>
          <t>Tilskot</t>
        </is>
      </c>
      <c r="B44" s="21" t="inlineStr">
        <is>
          <t>Utrekna</t>
        </is>
      </c>
      <c r="C44" s="38">
        <f>IF((C7)=0,0,(C11)/(C7))</f>
        <v/>
      </c>
      <c r="D44" s="12" t="inlineStr">
        <is>
          <t>kr</t>
        </is>
      </c>
      <c r="E44" s="23" t="inlineStr">
        <is>
          <t>Tilskot = Produksjonstilskot fordelt på produksjonen [C11] ÷ Tal dekar [C7]</t>
        </is>
      </c>
      <c r="F44" s="24" t="inlineStr">
        <is>
          <t>=IF((C7)=0,0,(C11)/(C7))</t>
        </is>
      </c>
    </row>
    <row r="45">
      <c r="A45" s="20" t="inlineStr">
        <is>
          <t>DB med tilskot</t>
        </is>
      </c>
      <c r="B45" s="21" t="inlineStr">
        <is>
          <t>Utrekna</t>
        </is>
      </c>
      <c r="C45" s="38">
        <f>IF((C7)=0,0,(C27)/(C7))</f>
        <v/>
      </c>
      <c r="D45" s="12" t="inlineStr">
        <is>
          <t>kr</t>
        </is>
      </c>
      <c r="E45" s="23" t="inlineStr">
        <is>
          <t>DB med tilskot = Dekningsbidrag (DB) med tilskot [C27] ÷ Tal dekar [C7]</t>
        </is>
      </c>
      <c r="F45" s="24" t="inlineStr">
        <is>
          <t>=IF((C7)=0,0,(C27)/(C7))</t>
        </is>
      </c>
    </row>
    <row r="46">
      <c r="A46" s="20" t="inlineStr">
        <is>
          <t>Maskinkostnader</t>
        </is>
      </c>
      <c r="B46" s="21" t="inlineStr">
        <is>
          <t>Utrekna</t>
        </is>
      </c>
      <c r="C46" s="38">
        <f>IF((C7)=0,0,(C22)/(C7))</f>
        <v/>
      </c>
      <c r="D46" s="12" t="inlineStr">
        <is>
          <t>kr</t>
        </is>
      </c>
      <c r="E46" s="23" t="inlineStr">
        <is>
          <t>Maskinkostnader = Maskinkostnader fordelt [C22] ÷ Tal dekar [C7]</t>
        </is>
      </c>
      <c r="F46" s="24" t="inlineStr">
        <is>
          <t>=IF((C7)=0,0,(C22)/(C7))</t>
        </is>
      </c>
    </row>
    <row r="47">
      <c r="A47" s="20" t="inlineStr">
        <is>
          <t>DB m/tilskot etter maskinkostnader</t>
        </is>
      </c>
      <c r="B47" s="21" t="inlineStr">
        <is>
          <t>Utrekna</t>
        </is>
      </c>
      <c r="C47" s="38">
        <f>IF((C7)=0,0,(C28)/(C7))</f>
        <v/>
      </c>
      <c r="D47" s="12" t="inlineStr">
        <is>
          <t>kr</t>
        </is>
      </c>
      <c r="E47" s="23" t="inlineStr">
        <is>
          <t>DB m/tilskot etter maskinkostnader = DB m/tilskot etter maskinkostnader [C28] ÷ Tal dekar [C7]</t>
        </is>
      </c>
      <c r="F47" s="24" t="inlineStr">
        <is>
          <t>=IF((C7)=0,0,(C28)/(C7))</t>
        </is>
      </c>
    </row>
    <row r="48">
      <c r="A48" s="18" t="inlineStr">
        <is>
          <t>6. OUTPUT – Nøkkeltal</t>
        </is>
      </c>
      <c r="B48" s="19" t="n"/>
      <c r="C48" s="19" t="n"/>
      <c r="D48" s="19" t="n"/>
      <c r="E48" s="19" t="n"/>
      <c r="F48" s="19" t="n"/>
    </row>
    <row r="49">
      <c r="A49" s="25" t="inlineStr">
        <is>
          <t>DB pr dekar u/tilskot</t>
        </is>
      </c>
      <c r="B49" s="26" t="inlineStr">
        <is>
          <t>Utrekna</t>
        </is>
      </c>
      <c r="C49" s="39">
        <f>IF((C7)=0,0,(C26)/(C7))</f>
        <v/>
      </c>
      <c r="D49" s="28" t="inlineStr">
        <is>
          <t>kr</t>
        </is>
      </c>
      <c r="E49" s="29" t="inlineStr">
        <is>
          <t>DB pr dekar u/tilskot = Dekningsbidrag (DB) utan tilskot [C26] ÷ Tal dekar [C7]</t>
        </is>
      </c>
      <c r="F49" s="30" t="inlineStr">
        <is>
          <t>=IF((C7)=0,0,(C26)/(C7))</t>
        </is>
      </c>
    </row>
    <row r="50">
      <c r="A50" s="25" t="inlineStr">
        <is>
          <t>DB pr dekar m/tilskot</t>
        </is>
      </c>
      <c r="B50" s="26" t="inlineStr">
        <is>
          <t>Utrekna</t>
        </is>
      </c>
      <c r="C50" s="39">
        <f>IF((C7)=0,0,(C27)/(C7))</f>
        <v/>
      </c>
      <c r="D50" s="28" t="inlineStr">
        <is>
          <t>kr</t>
        </is>
      </c>
      <c r="E50" s="29" t="inlineStr">
        <is>
          <t>DB pr dekar m/tilskot = Dekningsbidrag (DB) med tilskot [C27] ÷ Tal dekar [C7]</t>
        </is>
      </c>
      <c r="F50" s="30" t="inlineStr">
        <is>
          <t>=IF((C7)=0,0,(C27)/(C7))</t>
        </is>
      </c>
    </row>
    <row r="51">
      <c r="A51" s="25" t="inlineStr">
        <is>
          <t>Oppnådd pris pr kg</t>
        </is>
      </c>
      <c r="B51" s="26" t="inlineStr">
        <is>
          <t>Utrekna</t>
        </is>
      </c>
      <c r="C51" s="39">
        <f>IF((C9)=0,0,(C12)/(C9))</f>
        <v/>
      </c>
      <c r="D51" s="28" t="inlineStr">
        <is>
          <t>kr</t>
        </is>
      </c>
      <c r="E51" s="29" t="inlineStr">
        <is>
          <t>Oppnådd pris pr kg = Sal av kålrot [C12] ÷ Seld mengd [C9]</t>
        </is>
      </c>
      <c r="F51" s="30" t="inlineStr">
        <is>
          <t>=IF((C9)=0,0,(C12)/(C9))</t>
        </is>
      </c>
    </row>
    <row r="52">
      <c r="A52" s="25" t="inlineStr">
        <is>
          <t>Avling pr dekar (kg)</t>
        </is>
      </c>
      <c r="B52" s="26" t="inlineStr">
        <is>
          <t>Utrekna</t>
        </is>
      </c>
      <c r="C52" s="37">
        <f>IF((C7)=0,0,(C8)/(C7))</f>
        <v/>
      </c>
      <c r="D52" s="28" t="inlineStr">
        <is>
          <t>kg</t>
        </is>
      </c>
      <c r="E52" s="29" t="inlineStr">
        <is>
          <t>Avling pr dekar (kg) = Avling totalt [C8] ÷ Tal dekar [C7]</t>
        </is>
      </c>
      <c r="F52" s="30" t="inlineStr">
        <is>
          <t>=IF((C7)=0,0,(C8)/(C7))</t>
        </is>
      </c>
    </row>
    <row r="53">
      <c r="A53" s="25" t="inlineStr">
        <is>
          <t>Maskinkostnader pr dekar</t>
        </is>
      </c>
      <c r="B53" s="26" t="inlineStr">
        <is>
          <t>Utrekna</t>
        </is>
      </c>
      <c r="C53" s="39">
        <f>IF((C7)=0,0,(C22)/(C7))</f>
        <v/>
      </c>
      <c r="D53" s="28" t="inlineStr">
        <is>
          <t>kr</t>
        </is>
      </c>
      <c r="E53" s="29" t="inlineStr">
        <is>
          <t>Maskinkostnader pr dekar = Maskinkostnader fordelt [C22] ÷ Tal dekar [C7]</t>
        </is>
      </c>
      <c r="F53" s="30" t="inlineStr">
        <is>
          <t>=IF((C7)=0,0,(C22)/(C7))</t>
        </is>
      </c>
    </row>
    <row r="54">
      <c r="A54" s="25" t="inlineStr">
        <is>
          <t>DB etter maskinkostnader pr dekar</t>
        </is>
      </c>
      <c r="B54" s="26" t="inlineStr">
        <is>
          <t>Utrekna</t>
        </is>
      </c>
      <c r="C54" s="39">
        <f>IF((C7)=0,0,(C28)/(C7))</f>
        <v/>
      </c>
      <c r="D54" s="28" t="inlineStr">
        <is>
          <t>kr</t>
        </is>
      </c>
      <c r="E54" s="29" t="inlineStr">
        <is>
          <t>DB etter maskinkostnader pr dekar = DB m/tilskot etter maskinkostnader [C28] ÷ Tal dekar [C7]</t>
        </is>
      </c>
      <c r="F54" s="30" t="inlineStr">
        <is>
          <t>=IF((C7)=0,0,(C28)/(C7))</t>
        </is>
      </c>
    </row>
  </sheetData>
  <pageMargins left="0.75" right="0.75" top="1" bottom="1" header="0.5" footer="0.5"/>
  <pageSetup orientation="landscape" fitToHeight="0" fitToWidth="1"/>
</worksheet>
</file>

<file path=xl/worksheets/sheet15.xml><?xml version="1.0" encoding="utf-8"?>
<worksheet xmlns="http://schemas.openxmlformats.org/spreadsheetml/2006/main">
  <sheetPr>
    <outlinePr summaryBelow="1" summaryRight="1"/>
    <pageSetUpPr fitToPage="1"/>
  </sheetPr>
  <dimension ref="A1:F103"/>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0" customWidth="1" min="1" max="1"/>
    <col width="34" customWidth="1" min="2" max="2"/>
    <col width="16" customWidth="1" min="3" max="3"/>
    <col width="10" customWidth="1" min="4" max="4"/>
    <col width="78" customWidth="1" min="5" max="5"/>
    <col width="46" customWidth="1" min="6" max="6"/>
  </cols>
  <sheetData>
    <row r="1" ht="22" customHeight="1">
      <c r="A1" s="1" t="inlineStr">
        <is>
          <t>Mjølkeproduksjon storfe  –  driftsgrein 6110-6113</t>
        </is>
      </c>
    </row>
    <row r="2">
      <c r="A2" s="7" t="inlineStr">
        <is>
          <t>Mjølkeku med påsett (driftsgrein 6110–6113). Analysegruppe etter påsettprosent blir rekna ut automatisk.</t>
        </is>
      </c>
    </row>
    <row r="3">
      <c r="A3" s="8" t="inlineStr">
        <is>
          <t>Fargekodar:  blå tal på gul botn = input (skal fyllast inn)   ·   svart = formel   ·   grøn = lenkje frå anna ark.   Alle kronebeløp er positive (inntekt og kostnad).</t>
        </is>
      </c>
    </row>
    <row r="5">
      <c r="A5" s="17" t="inlineStr">
        <is>
          <t>Post</t>
        </is>
      </c>
      <c r="B5" s="17" t="inlineStr">
        <is>
          <t>Kjelde / Tripletex-konto</t>
        </is>
      </c>
      <c r="C5" s="17" t="inlineStr">
        <is>
          <t>Verdi</t>
        </is>
      </c>
      <c r="D5" s="17" t="inlineStr">
        <is>
          <t>Eining</t>
        </is>
      </c>
      <c r="E5" s="17" t="inlineStr">
        <is>
          <t>Formel forklart (korleis outputen blir rekna)</t>
        </is>
      </c>
      <c r="F5" s="17" t="inlineStr">
        <is>
          <t>Excel-formel</t>
        </is>
      </c>
    </row>
    <row r="6">
      <c r="A6" s="18" t="inlineStr">
        <is>
          <t>1. INPUT – Produksjonsdata (frå produksjonstabell / teljingar)</t>
        </is>
      </c>
      <c r="B6" s="19" t="n"/>
      <c r="C6" s="19" t="n"/>
      <c r="D6" s="19" t="n"/>
      <c r="E6" s="19" t="n"/>
      <c r="F6" s="19" t="n"/>
    </row>
    <row r="7">
      <c r="A7" s="20" t="inlineStr">
        <is>
          <t>Tal årskyr</t>
        </is>
      </c>
      <c r="B7" s="24" t="inlineStr">
        <is>
          <t>Kukontrollen / produksjonstabell (EnhetAntall)</t>
        </is>
      </c>
      <c r="C7" s="31" t="n">
        <v>25</v>
      </c>
      <c r="D7" s="12" t="inlineStr">
        <is>
          <t>stk</t>
        </is>
      </c>
      <c r="E7" s="24" t="inlineStr">
        <is>
          <t>Input. Hentast frå: Kukontrollen / produksjonstabell (EnhetAntall).</t>
        </is>
      </c>
      <c r="F7" s="32" t="n"/>
    </row>
    <row r="8">
      <c r="A8" s="20" t="inlineStr">
        <is>
          <t>Levert mjølk</t>
        </is>
      </c>
      <c r="B8" s="24" t="inlineStr">
        <is>
          <t>Mengde 1 på konto 3071</t>
        </is>
      </c>
      <c r="C8" s="31" t="n">
        <v>190000</v>
      </c>
      <c r="D8" s="12" t="inlineStr">
        <is>
          <t>liter</t>
        </is>
      </c>
      <c r="E8" s="24" t="inlineStr">
        <is>
          <t>Input. Hentast frå: Mengde 1 på konto 3071.</t>
        </is>
      </c>
      <c r="F8" s="32" t="n"/>
    </row>
    <row r="9">
      <c r="A9" s="20" t="inlineStr">
        <is>
          <t>Disponibel mjølkekvote</t>
        </is>
      </c>
      <c r="B9" s="24" t="inlineStr">
        <is>
          <t>Kvoteoversikt (Landbruksdirektoratet)</t>
        </is>
      </c>
      <c r="C9" s="31" t="n">
        <v>200000</v>
      </c>
      <c r="D9" s="12" t="inlineStr">
        <is>
          <t>liter</t>
        </is>
      </c>
      <c r="E9" s="24" t="inlineStr">
        <is>
          <t>Input. Hentast frå: Kvoteoversikt (Landbruksdirektoratet).</t>
        </is>
      </c>
      <c r="F9" s="32" t="n"/>
    </row>
    <row r="10">
      <c r="A10" s="20" t="inlineStr">
        <is>
          <t>Kg slakt storfe (mjølkeproduksjonen)</t>
        </is>
      </c>
      <c r="B10" s="24" t="inlineStr">
        <is>
          <t>Mengde 2 på konto 3041</t>
        </is>
      </c>
      <c r="C10" s="31" t="n">
        <v>5200</v>
      </c>
      <c r="D10" s="12" t="inlineStr">
        <is>
          <t>kg</t>
        </is>
      </c>
      <c r="E10" s="24" t="inlineStr">
        <is>
          <t>Input. Hentast frå: Mengde 2 på konto 3041.</t>
        </is>
      </c>
      <c r="F10" s="32" t="n"/>
    </row>
    <row r="11">
      <c r="A11" s="20" t="inlineStr">
        <is>
          <t>Kyr pr 1.1.</t>
        </is>
      </c>
      <c r="B11" s="24" t="inlineStr">
        <is>
          <t>Mengde 1 på 1451.20.511/512 (IB)</t>
        </is>
      </c>
      <c r="C11" s="31" t="n">
        <v>26</v>
      </c>
      <c r="D11" s="12" t="inlineStr">
        <is>
          <t>stk</t>
        </is>
      </c>
      <c r="E11" s="24" t="inlineStr">
        <is>
          <t>Input. Hentast frå: Mengde 1 på 1451.20.511/512 (IB).</t>
        </is>
      </c>
      <c r="F11" s="32" t="n"/>
    </row>
    <row r="12">
      <c r="A12" s="20" t="inlineStr">
        <is>
          <t>Kyr pr 31.12.</t>
        </is>
      </c>
      <c r="B12" s="24" t="inlineStr">
        <is>
          <t>Mengde 1 på 1451.20.511/512 (UB)</t>
        </is>
      </c>
      <c r="C12" s="31" t="n">
        <v>25</v>
      </c>
      <c r="D12" s="12" t="inlineStr">
        <is>
          <t>stk</t>
        </is>
      </c>
      <c r="E12" s="24" t="inlineStr">
        <is>
          <t>Input. Hentast frå: Mengde 1 på 1451.20.511/512 (UB).</t>
        </is>
      </c>
      <c r="F12" s="32" t="n"/>
    </row>
    <row r="13">
      <c r="A13" s="20" t="inlineStr">
        <is>
          <t>Kviger/oksar over 12 md pr 1.1.</t>
        </is>
      </c>
      <c r="B13" s="24" t="inlineStr">
        <is>
          <t>1451.20.514/516 (IB)</t>
        </is>
      </c>
      <c r="C13" s="31" t="n">
        <v>14</v>
      </c>
      <c r="D13" s="12" t="inlineStr">
        <is>
          <t>stk</t>
        </is>
      </c>
      <c r="E13" s="24" t="inlineStr">
        <is>
          <t>Input. Hentast frå: 1451.20.514/516 (IB).</t>
        </is>
      </c>
      <c r="F13" s="32" t="n"/>
    </row>
    <row r="14">
      <c r="A14" s="20" t="inlineStr">
        <is>
          <t>Kviger/oksar over 12 md pr 31.12.</t>
        </is>
      </c>
      <c r="B14" s="24" t="inlineStr">
        <is>
          <t>1451.20.514/516 (UB)</t>
        </is>
      </c>
      <c r="C14" s="31" t="n">
        <v>15</v>
      </c>
      <c r="D14" s="12" t="inlineStr">
        <is>
          <t>stk</t>
        </is>
      </c>
      <c r="E14" s="24" t="inlineStr">
        <is>
          <t>Input. Hentast frå: 1451.20.514/516 (UB).</t>
        </is>
      </c>
      <c r="F14" s="32" t="n"/>
    </row>
    <row r="15">
      <c r="A15" s="20" t="inlineStr">
        <is>
          <t>Kalvar/ungdyr under 12 md pr 1.1.</t>
        </is>
      </c>
      <c r="B15" s="24" t="inlineStr">
        <is>
          <t>1451.20.515/517/518 (IB)</t>
        </is>
      </c>
      <c r="C15" s="31" t="n">
        <v>16</v>
      </c>
      <c r="D15" s="12" t="inlineStr">
        <is>
          <t>stk</t>
        </is>
      </c>
      <c r="E15" s="24" t="inlineStr">
        <is>
          <t>Input. Hentast frå: 1451.20.515/517/518 (IB).</t>
        </is>
      </c>
      <c r="F15" s="32" t="n"/>
    </row>
    <row r="16">
      <c r="A16" s="20" t="inlineStr">
        <is>
          <t>Kalvar/ungdyr under 12 md pr 31.12.</t>
        </is>
      </c>
      <c r="B16" s="24" t="inlineStr">
        <is>
          <t>1451.20.515/517/518 (UB)</t>
        </is>
      </c>
      <c r="C16" s="31" t="n">
        <v>17</v>
      </c>
      <c r="D16" s="12" t="inlineStr">
        <is>
          <t>stk</t>
        </is>
      </c>
      <c r="E16" s="24" t="inlineStr">
        <is>
          <t>Input. Hentast frå: 1451.20.515/517/518 (UB).</t>
        </is>
      </c>
      <c r="F16" s="32" t="n"/>
    </row>
    <row r="17">
      <c r="A17" s="20" t="inlineStr">
        <is>
          <t>Fôrnorm beite (FEm)</t>
        </is>
      </c>
      <c r="B17" s="24" t="inlineStr">
        <is>
          <t>Fôrnorm pr årsku og år (jf. marginalanalysen). Brukt til arealbehov og fordelingsnøklar</t>
        </is>
      </c>
      <c r="C17" s="31" t="n">
        <v>2000</v>
      </c>
      <c r="D17" s="12" t="inlineStr">
        <is>
          <t>FEm</t>
        </is>
      </c>
      <c r="E17" s="24" t="inlineStr">
        <is>
          <t>Input. Hentast frå: Fôrnorm pr årsku og år (jf. marginalanalysen). Brukt til arealbehov og fordelingsnøklar.</t>
        </is>
      </c>
      <c r="F17" s="32" t="n"/>
    </row>
    <row r="18">
      <c r="A18" s="20" t="inlineStr">
        <is>
          <t>Fôrnorm eige grovfôr vinter (FEm)</t>
        </is>
      </c>
      <c r="B18" s="24" t="inlineStr">
        <is>
          <t>Fôrnorm pr årsku og år (jf. marginalanalysen). Brukt til arealbehov og fordelingsnøklar</t>
        </is>
      </c>
      <c r="C18" s="31" t="n">
        <v>3500</v>
      </c>
      <c r="D18" s="12" t="inlineStr">
        <is>
          <t>FEm</t>
        </is>
      </c>
      <c r="E18" s="24" t="inlineStr">
        <is>
          <t>Input. Hentast frå: Fôrnorm pr årsku og år (jf. marginalanalysen). Brukt til arealbehov og fordelingsnøklar.</t>
        </is>
      </c>
      <c r="F18" s="32" t="n"/>
    </row>
    <row r="19">
      <c r="A19" s="20" t="inlineStr">
        <is>
          <t>Fôrnorm kraftfôr (FEm)</t>
        </is>
      </c>
      <c r="B19" s="24" t="inlineStr">
        <is>
          <t>Fôrnorm pr årsku og år (jf. marginalanalysen). Brukt til arealbehov og fordelingsnøklar</t>
        </is>
      </c>
      <c r="C19" s="31" t="n">
        <v>1800</v>
      </c>
      <c r="D19" s="12" t="inlineStr">
        <is>
          <t>FEm</t>
        </is>
      </c>
      <c r="E19" s="24" t="inlineStr">
        <is>
          <t>Input. Hentast frå: Fôrnorm pr årsku og år (jf. marginalanalysen). Brukt til arealbehov og fordelingsnøklar.</t>
        </is>
      </c>
      <c r="F19" s="32" t="n"/>
    </row>
    <row r="20">
      <c r="A20" s="18" t="inlineStr">
        <is>
          <t>2. INPUT – Rekneskapstal (kr) frå saldobalansen etter korrigeringar</t>
        </is>
      </c>
      <c r="B20" s="19" t="n"/>
      <c r="C20" s="19" t="n"/>
      <c r="D20" s="19" t="n"/>
      <c r="E20" s="19" t="n"/>
      <c r="F20" s="19" t="n"/>
    </row>
    <row r="21">
      <c r="A21" s="20" t="inlineStr">
        <is>
          <t>Produksjonstilskot fordelt på produksjonen</t>
        </is>
      </c>
      <c r="B21" s="24" t="inlineStr">
        <is>
          <t>34xx (ikkje 344x avløysartilskot)</t>
        </is>
      </c>
      <c r="C21" s="31" t="n">
        <v>520000</v>
      </c>
      <c r="D21" s="12" t="inlineStr">
        <is>
          <t>kr</t>
        </is>
      </c>
      <c r="E21" s="24" t="inlineStr">
        <is>
          <t>Input. Hentast frå: 34xx (ikkje 344x avløysartilskot).</t>
        </is>
      </c>
      <c r="F21" s="32" t="n"/>
    </row>
    <row r="22">
      <c r="A22" s="20" t="inlineStr">
        <is>
          <t>Mjølk</t>
        </is>
      </c>
      <c r="B22" s="24" t="inlineStr">
        <is>
          <t>3070-3073, 3163/3173 (.482)</t>
        </is>
      </c>
      <c r="C22" s="31" t="n">
        <v>1330000</v>
      </c>
      <c r="D22" s="12" t="inlineStr">
        <is>
          <t>kr</t>
        </is>
      </c>
      <c r="E22" s="24" t="inlineStr">
        <is>
          <t>Input. Hentast frå: 3070-3073, 3163/3173 (.482).</t>
        </is>
      </c>
      <c r="F22" s="32" t="n"/>
    </row>
    <row r="23">
      <c r="A23" s="20" t="inlineStr">
        <is>
          <t>Slakt</t>
        </is>
      </c>
      <c r="B23" s="24" t="inlineStr">
        <is>
          <t>3040-3049, 3162, 3172, 3078</t>
        </is>
      </c>
      <c r="C23" s="31" t="n">
        <v>210000</v>
      </c>
      <c r="D23" s="12" t="inlineStr">
        <is>
          <t>kr</t>
        </is>
      </c>
      <c r="E23" s="24" t="inlineStr">
        <is>
          <t>Input. Hentast frå: 3040-3049, 3162, 3172, 3078.</t>
        </is>
      </c>
      <c r="F23" s="32" t="n"/>
    </row>
    <row r="24">
      <c r="A24" s="20" t="inlineStr">
        <is>
          <t>Livdyrsal</t>
        </is>
      </c>
      <c r="B24" s="24" t="inlineStr">
        <is>
          <t>3050-3059</t>
        </is>
      </c>
      <c r="C24" s="31" t="n">
        <v>45000</v>
      </c>
      <c r="D24" s="12" t="inlineStr">
        <is>
          <t>kr</t>
        </is>
      </c>
      <c r="E24" s="24" t="inlineStr">
        <is>
          <t>Input. Hentast frå: 3050-3059.</t>
        </is>
      </c>
      <c r="F24" s="32" t="n"/>
    </row>
    <row r="25">
      <c r="A25" s="20" t="inlineStr">
        <is>
          <t>Buskap, beholdningsendring (+ = auke)</t>
        </is>
      </c>
      <c r="B25" s="24" t="inlineStr">
        <is>
          <t>4690-4698 (forteikn snudd)</t>
        </is>
      </c>
      <c r="C25" s="31" t="n">
        <v>15000</v>
      </c>
      <c r="D25" s="12" t="inlineStr">
        <is>
          <t>kr</t>
        </is>
      </c>
      <c r="E25" s="24" t="inlineStr">
        <is>
          <t>Input. Hentast frå: 4690-4698 (forteikn snudd).</t>
        </is>
      </c>
      <c r="F25" s="32" t="n"/>
    </row>
    <row r="26">
      <c r="A26" s="20" t="inlineStr">
        <is>
          <t>Andre inntekter</t>
        </is>
      </c>
      <c r="B26" s="24" t="inlineStr">
        <is>
          <t>andre 3xxx kopla til produksjonen</t>
        </is>
      </c>
      <c r="C26" s="31" t="n">
        <v>8000</v>
      </c>
      <c r="D26" s="12" t="inlineStr">
        <is>
          <t>kr</t>
        </is>
      </c>
      <c r="E26" s="24" t="inlineStr">
        <is>
          <t>Input. Hentast frå: andre 3xxx kopla til produksjonen.</t>
        </is>
      </c>
      <c r="F26" s="32" t="n"/>
    </row>
    <row r="27">
      <c r="A27" s="20" t="inlineStr">
        <is>
          <t>Herav distriktstilskot mjølk</t>
        </is>
      </c>
      <c r="B27" s="24" t="inlineStr">
        <is>
          <t>Del av mjølkeinntekta (avrekning)</t>
        </is>
      </c>
      <c r="C27" s="31" t="n">
        <v>22800</v>
      </c>
      <c r="D27" s="12" t="inlineStr">
        <is>
          <t>kr</t>
        </is>
      </c>
      <c r="E27" s="24" t="inlineStr">
        <is>
          <t>Input. Hentast frå: Del av mjølkeinntekta (avrekning). Er med i beløpet over, brukt berre til prisutrekning.</t>
        </is>
      </c>
      <c r="F27" s="32" t="n"/>
    </row>
    <row r="28">
      <c r="A28" s="20" t="inlineStr">
        <is>
          <t>Herav distriktstilskot kjøt</t>
        </is>
      </c>
      <c r="B28" s="24" t="inlineStr">
        <is>
          <t>3047 Slakt, distriktstilskot (del av slakteinntekta)</t>
        </is>
      </c>
      <c r="C28" s="31" t="n">
        <v>27300</v>
      </c>
      <c r="D28" s="12" t="inlineStr">
        <is>
          <t>kr</t>
        </is>
      </c>
      <c r="E28" s="24" t="inlineStr">
        <is>
          <t>Input. Hentast frå: 3047 Slakt, distriktstilskot (del av slakteinntekta). Er med i beløpet over, brukt berre til prisutrekning.</t>
        </is>
      </c>
      <c r="F28" s="32" t="n"/>
    </row>
    <row r="29">
      <c r="A29" s="18" t="inlineStr">
        <is>
          <t>Variable kostnader – eigen grovfôrproduksjon</t>
        </is>
      </c>
      <c r="B29" s="19" t="n"/>
      <c r="C29" s="19" t="n"/>
      <c r="D29" s="19" t="n"/>
      <c r="E29" s="19" t="n"/>
      <c r="F29" s="19" t="n"/>
    </row>
    <row r="30">
      <c r="A30" s="20" t="inlineStr">
        <is>
          <t>Såfrø / grasfrø</t>
        </is>
      </c>
      <c r="B30" s="24" t="inlineStr">
        <is>
          <t>4001</t>
        </is>
      </c>
      <c r="C30" s="31" t="n">
        <v>18000</v>
      </c>
      <c r="D30" s="12" t="inlineStr">
        <is>
          <t>kr</t>
        </is>
      </c>
      <c r="E30" s="24" t="inlineStr">
        <is>
          <t>Input. Hentast frå: 4001.</t>
        </is>
      </c>
      <c r="F30" s="32" t="n"/>
    </row>
    <row r="31">
      <c r="A31" s="20" t="inlineStr">
        <is>
          <t>Plantevernmiddel</t>
        </is>
      </c>
      <c r="B31" s="24" t="inlineStr">
        <is>
          <t>4110, 4191</t>
        </is>
      </c>
      <c r="C31" s="31" t="n">
        <v>6000</v>
      </c>
      <c r="D31" s="12" t="inlineStr">
        <is>
          <t>kr</t>
        </is>
      </c>
      <c r="E31" s="24" t="inlineStr">
        <is>
          <t>Input. Hentast frå: 4110, 4191.</t>
        </is>
      </c>
      <c r="F31" s="32" t="n"/>
    </row>
    <row r="32">
      <c r="A32" s="20" t="inlineStr">
        <is>
          <t>Rundballeplast mm.</t>
        </is>
      </c>
      <c r="B32" s="24" t="inlineStr">
        <is>
          <t>4140, 4194</t>
        </is>
      </c>
      <c r="C32" s="31" t="n">
        <v>32000</v>
      </c>
      <c r="D32" s="12" t="inlineStr">
        <is>
          <t>kr</t>
        </is>
      </c>
      <c r="E32" s="24" t="inlineStr">
        <is>
          <t>Input. Hentast frå: 4140, 4194.</t>
        </is>
      </c>
      <c r="F32" s="32" t="n"/>
    </row>
    <row r="33">
      <c r="A33" s="20" t="inlineStr">
        <is>
          <t>Handelsgjødsel</t>
        </is>
      </c>
      <c r="B33" s="24" t="inlineStr">
        <is>
          <t>4050, 4095</t>
        </is>
      </c>
      <c r="C33" s="31" t="n">
        <v>95000</v>
      </c>
      <c r="D33" s="12" t="inlineStr">
        <is>
          <t>kr</t>
        </is>
      </c>
      <c r="E33" s="24" t="inlineStr">
        <is>
          <t>Input. Hentast frå: 4050, 4095.</t>
        </is>
      </c>
      <c r="F33" s="32" t="n"/>
    </row>
    <row r="34">
      <c r="A34" s="20" t="inlineStr">
        <is>
          <t>Kalk</t>
        </is>
      </c>
      <c r="B34" s="24" t="inlineStr">
        <is>
          <t>4057</t>
        </is>
      </c>
      <c r="C34" s="31" t="n">
        <v>12000</v>
      </c>
      <c r="D34" s="12" t="inlineStr">
        <is>
          <t>kr</t>
        </is>
      </c>
      <c r="E34" s="24" t="inlineStr">
        <is>
          <t>Input. Hentast frå: 4057.</t>
        </is>
      </c>
      <c r="F34" s="32" t="n"/>
    </row>
    <row r="35">
      <c r="A35" s="20" t="inlineStr">
        <is>
          <t>Konserveringsmiddel</t>
        </is>
      </c>
      <c r="B35" s="24" t="inlineStr">
        <is>
          <t>4080, 4098</t>
        </is>
      </c>
      <c r="C35" s="31" t="n">
        <v>14000</v>
      </c>
      <c r="D35" s="12" t="inlineStr">
        <is>
          <t>kr</t>
        </is>
      </c>
      <c r="E35" s="24" t="inlineStr">
        <is>
          <t>Input. Hentast frå: 4080, 4098.</t>
        </is>
      </c>
      <c r="F35" s="32" t="n"/>
    </row>
    <row r="36">
      <c r="A36" s="20" t="inlineStr">
        <is>
          <t>Endring anna varelager (variable kostn.)</t>
        </is>
      </c>
      <c r="B36" s="24" t="inlineStr">
        <is>
          <t>4090</t>
        </is>
      </c>
      <c r="C36" s="31" t="n">
        <v>0</v>
      </c>
      <c r="D36" s="12" t="inlineStr">
        <is>
          <t>kr</t>
        </is>
      </c>
      <c r="E36" s="24" t="inlineStr">
        <is>
          <t>Input. Hentast frå: 4090.</t>
        </is>
      </c>
      <c r="F36" s="32" t="n"/>
    </row>
    <row r="37">
      <c r="A37" s="20" t="inlineStr">
        <is>
          <t>Endring eigenprodusert grovfôr (+ = nedgang i lager)</t>
        </is>
      </c>
      <c r="B37" s="24" t="inlineStr">
        <is>
          <t>4297</t>
        </is>
      </c>
      <c r="C37" s="31" t="n">
        <v>-10000</v>
      </c>
      <c r="D37" s="12" t="inlineStr">
        <is>
          <t>kr</t>
        </is>
      </c>
      <c r="E37" s="24" t="inlineStr">
        <is>
          <t>Input. Hentast frå: 4297.</t>
        </is>
      </c>
      <c r="F37" s="32" t="n"/>
    </row>
    <row r="38">
      <c r="A38" s="18" t="inlineStr">
        <is>
          <t>Variable kostnader – anna</t>
        </is>
      </c>
      <c r="B38" s="19" t="n"/>
      <c r="C38" s="19" t="n"/>
      <c r="D38" s="19" t="n"/>
      <c r="E38" s="19" t="n"/>
      <c r="F38" s="19" t="n"/>
    </row>
    <row r="39">
      <c r="A39" s="20" t="inlineStr">
        <is>
          <t>Kjøp grovfôr</t>
        </is>
      </c>
      <c r="B39" s="24" t="inlineStr">
        <is>
          <t>4030</t>
        </is>
      </c>
      <c r="C39" s="31" t="n">
        <v>20000</v>
      </c>
      <c r="D39" s="12" t="inlineStr">
        <is>
          <t>kr</t>
        </is>
      </c>
      <c r="E39" s="24" t="inlineStr">
        <is>
          <t>Input. Hentast frå: 4030.</t>
        </is>
      </c>
      <c r="F39" s="32" t="n"/>
    </row>
    <row r="40">
      <c r="A40" s="20" t="inlineStr">
        <is>
          <t>Beiteleige / dyr på beite</t>
        </is>
      </c>
      <c r="B40" s="24" t="inlineStr">
        <is>
          <t>4031</t>
        </is>
      </c>
      <c r="C40" s="31" t="n">
        <v>0</v>
      </c>
      <c r="D40" s="12" t="inlineStr">
        <is>
          <t>kr</t>
        </is>
      </c>
      <c r="E40" s="24" t="inlineStr">
        <is>
          <t>Input. Hentast frå: 4031.</t>
        </is>
      </c>
      <c r="F40" s="32" t="n"/>
    </row>
    <row r="41">
      <c r="A41" s="20" t="inlineStr">
        <is>
          <t>Endring innkjøpt grovfôrlager</t>
        </is>
      </c>
      <c r="B41" s="24" t="inlineStr">
        <is>
          <t>4093</t>
        </is>
      </c>
      <c r="C41" s="31" t="n">
        <v>0</v>
      </c>
      <c r="D41" s="12" t="inlineStr">
        <is>
          <t>kr</t>
        </is>
      </c>
      <c r="E41" s="24" t="inlineStr">
        <is>
          <t>Input. Hentast frå: 4093.</t>
        </is>
      </c>
      <c r="F41" s="32" t="n"/>
    </row>
    <row r="42">
      <c r="A42" s="20" t="inlineStr">
        <is>
          <t>Kraftfôr mm.</t>
        </is>
      </c>
      <c r="B42" s="24" t="inlineStr">
        <is>
          <t>4020-4029, 4040-4049, 4092, 4094</t>
        </is>
      </c>
      <c r="C42" s="31" t="n">
        <v>380000</v>
      </c>
      <c r="D42" s="12" t="inlineStr">
        <is>
          <t>kr</t>
        </is>
      </c>
      <c r="E42" s="24" t="inlineStr">
        <is>
          <t>Input. Hentast frå: 4020-4029, 4040-4049, 4092, 4094.</t>
        </is>
      </c>
      <c r="F42" s="32" t="n"/>
    </row>
    <row r="43">
      <c r="A43" s="20" t="inlineStr">
        <is>
          <t>Veterinær, medisin, semin mm.</t>
        </is>
      </c>
      <c r="B43" s="24" t="inlineStr">
        <is>
          <t>4120, 4192, 4520-4529</t>
        </is>
      </c>
      <c r="C43" s="31" t="n">
        <v>65000</v>
      </c>
      <c r="D43" s="12" t="inlineStr">
        <is>
          <t>kr</t>
        </is>
      </c>
      <c r="E43" s="24" t="inlineStr">
        <is>
          <t>Input. Hentast frå: 4120, 4192, 4520-4529.</t>
        </is>
      </c>
      <c r="F43" s="32" t="n"/>
    </row>
    <row r="44">
      <c r="A44" s="20" t="inlineStr">
        <is>
          <t>Innkjøp dyr</t>
        </is>
      </c>
      <c r="B44" s="24" t="inlineStr">
        <is>
          <t>4600-4689</t>
        </is>
      </c>
      <c r="C44" s="31" t="n">
        <v>0</v>
      </c>
      <c r="D44" s="12" t="inlineStr">
        <is>
          <t>kr</t>
        </is>
      </c>
      <c r="E44" s="24" t="inlineStr">
        <is>
          <t>Input. Hentast frå: 4600-4689.</t>
        </is>
      </c>
      <c r="F44" s="32" t="n"/>
    </row>
    <row r="45">
      <c r="A45" s="20" t="inlineStr">
        <is>
          <t>Andre variable kostnader</t>
        </is>
      </c>
      <c r="B45" s="24" t="inlineStr">
        <is>
          <t>4130-4139, 4193, 4530-4549, 4560-4569 + andre 4xxx</t>
        </is>
      </c>
      <c r="C45" s="31" t="n">
        <v>95000</v>
      </c>
      <c r="D45" s="12" t="inlineStr">
        <is>
          <t>kr</t>
        </is>
      </c>
      <c r="E45" s="24" t="inlineStr">
        <is>
          <t>Input. Hentast frå: 4130-4139, 4193, 4530-4549, 4560-4569 + andre 4xxx.</t>
        </is>
      </c>
      <c r="F45" s="32" t="n"/>
    </row>
    <row r="46">
      <c r="A46" s="18" t="inlineStr">
        <is>
          <t>3. INPUT – Fordelte faste kostnader (lenka frå arket «Faste kostnader»)</t>
        </is>
      </c>
      <c r="B46" s="19" t="n"/>
      <c r="C46" s="19" t="n"/>
      <c r="D46" s="19" t="n"/>
      <c r="E46" s="19" t="n"/>
      <c r="F46" s="19" t="n"/>
    </row>
    <row r="47">
      <c r="A47" s="20" t="inlineStr">
        <is>
          <t>Maskinkostnader fordelt</t>
        </is>
      </c>
      <c r="B47" s="21" t="inlineStr">
        <is>
          <t>Lenkje frå anna ark</t>
        </is>
      </c>
      <c r="C47" s="13">
        <f>'Faste kostnader'!C46</f>
        <v/>
      </c>
      <c r="D47" s="12" t="inlineStr">
        <is>
          <t>kr</t>
        </is>
      </c>
      <c r="E47" s="23" t="inlineStr">
        <is>
          <t>Maskinkostnader fordelt = Maskinkostnader – Mjølk [Faste kostnader!C46]</t>
        </is>
      </c>
      <c r="F47" s="24" t="inlineStr">
        <is>
          <t>='Faste kostnader'!C46</t>
        </is>
      </c>
    </row>
    <row r="48">
      <c r="A48" s="20" t="inlineStr">
        <is>
          <t>Innandørsmekanisering fordelt</t>
        </is>
      </c>
      <c r="B48" s="21" t="inlineStr">
        <is>
          <t>Lenkje frå anna ark</t>
        </is>
      </c>
      <c r="C48" s="13">
        <f>'Faste kostnader'!C77</f>
        <v/>
      </c>
      <c r="D48" s="12" t="inlineStr">
        <is>
          <t>kr</t>
        </is>
      </c>
      <c r="E48" s="23" t="inlineStr">
        <is>
          <t>Innandørsmekanisering fordelt = Innandørsmekanisering – Mjølk [Faste kostnader!C77]</t>
        </is>
      </c>
      <c r="F48" s="24" t="inlineStr">
        <is>
          <t>='Faste kostnader'!C77</t>
        </is>
      </c>
    </row>
    <row r="49">
      <c r="A49" s="18" t="inlineStr">
        <is>
          <t>4. UTREKNING – Totalt for produksjonen</t>
        </is>
      </c>
      <c r="B49" s="19" t="n"/>
      <c r="C49" s="19" t="n"/>
      <c r="D49" s="19" t="n"/>
      <c r="E49" s="19" t="n"/>
      <c r="F49" s="19" t="n"/>
    </row>
    <row r="50">
      <c r="A50" s="20" t="inlineStr">
        <is>
          <t>Produksjonsinntekter i alt</t>
        </is>
      </c>
      <c r="B50" s="21" t="inlineStr">
        <is>
          <t>Utrekna</t>
        </is>
      </c>
      <c r="C50" s="22">
        <f>C22+C23+C24+C25+C26</f>
        <v/>
      </c>
      <c r="D50" s="12" t="inlineStr">
        <is>
          <t>kr</t>
        </is>
      </c>
      <c r="E50" s="23" t="inlineStr">
        <is>
          <t>Produksjonsinntekter i alt = Mjølk [C22] + Slakt [C23] + Livdyrsal [C24] + Buskap, beholdningsendring (+ = auke) [C25] + Andre inntekter [C26]</t>
        </is>
      </c>
      <c r="F50" s="24" t="inlineStr">
        <is>
          <t>=C22+C23+C24+C25+C26</t>
        </is>
      </c>
    </row>
    <row r="51">
      <c r="A51" s="20" t="inlineStr">
        <is>
          <t>Eigen grovfôr – sum variable kostnader</t>
        </is>
      </c>
      <c r="B51" s="21" t="inlineStr">
        <is>
          <t>Utrekna</t>
        </is>
      </c>
      <c r="C51" s="22">
        <f>C30+C31+C32+C33+C34+C35+C36+C37</f>
        <v/>
      </c>
      <c r="D51" s="12" t="inlineStr">
        <is>
          <t>kr</t>
        </is>
      </c>
      <c r="E51" s="23" t="inlineStr">
        <is>
          <t>Eigen grovfôr – sum variable kostnader = Såfrø / grasfrø [C30] + Plantevernmiddel [C31] + Rundballeplast mm. [C32] + Handelsgjødsel [C33] + Kalk [C34] + Konserveringsmiddel [C35] + Endring anna varelager (variable kostn.) [C36] + Endring eigenprodusert grovfôr (+ = nedgang i lager) [C37]</t>
        </is>
      </c>
      <c r="F51" s="24" t="inlineStr">
        <is>
          <t>=C30+C31+C32+C33+C34+C35+C36+C37</t>
        </is>
      </c>
    </row>
    <row r="52">
      <c r="A52" s="20" t="inlineStr">
        <is>
          <t>Variabel grovfôrkostnad (utan plast og lagerendring eigenprodusert)</t>
        </is>
      </c>
      <c r="B52" s="21" t="inlineStr">
        <is>
          <t>Utrekna</t>
        </is>
      </c>
      <c r="C52" s="22">
        <f>C30+C31+C33+C34+C35+C36</f>
        <v/>
      </c>
      <c r="D52" s="12" t="inlineStr">
        <is>
          <t>kr</t>
        </is>
      </c>
      <c r="E52" s="23" t="inlineStr">
        <is>
          <t>Variabel grovfôrkostnad (utan plast og lagerendring eigenprodusert) = Såfrø / grasfrø [C30] + Plantevernmiddel [C31] + Handelsgjødsel [C33] + Kalk [C34] + Konserveringsmiddel [C35] + Endring anna varelager (variable kostn.) [C36]   (Brukt i «Variabel grovfôrkostnad pr dekar» – same utval som eksempelanalysen)</t>
        </is>
      </c>
      <c r="F52" s="24" t="inlineStr">
        <is>
          <t>=C30+C31+C33+C34+C35+C36</t>
        </is>
      </c>
    </row>
    <row r="53">
      <c r="A53" s="20" t="inlineStr">
        <is>
          <t>Sum eigen grovfôrproduksjon (utan lagerendring)</t>
        </is>
      </c>
      <c r="B53" s="21" t="inlineStr">
        <is>
          <t>Utrekna</t>
        </is>
      </c>
      <c r="C53" s="22">
        <f>C51-C37</f>
        <v/>
      </c>
      <c r="D53" s="12" t="inlineStr">
        <is>
          <t>kr</t>
        </is>
      </c>
      <c r="E53" s="23" t="inlineStr">
        <is>
          <t>Sum eigen grovfôrproduksjon (utan lagerendring) = Eigen grovfôr – sum variable kostnader [C51] − Endring eigenprodusert grovfôr (+ = nedgang i lager) [C37]   (Brukt til å fordele grovfôrarealet mellom produksjonane)</t>
        </is>
      </c>
      <c r="F53" s="24" t="inlineStr">
        <is>
          <t>=C51-C37</t>
        </is>
      </c>
    </row>
    <row r="54">
      <c r="A54" s="20" t="inlineStr">
        <is>
          <t>Grovfôr – kostnad i alt</t>
        </is>
      </c>
      <c r="B54" s="21" t="inlineStr">
        <is>
          <t>Utrekna</t>
        </is>
      </c>
      <c r="C54" s="22">
        <f>C51+C39+C41</f>
        <v/>
      </c>
      <c r="D54" s="12" t="inlineStr">
        <is>
          <t>kr</t>
        </is>
      </c>
      <c r="E54" s="23" t="inlineStr">
        <is>
          <t>Grovfôr – kostnad i alt = Eigen grovfôr – sum variable kostnader [C51] + Kjøp grovfôr [C39] + Endring innkjøpt grovfôrlager [C41]</t>
        </is>
      </c>
      <c r="F54" s="24" t="inlineStr">
        <is>
          <t>=C51+C39+C41</t>
        </is>
      </c>
    </row>
    <row r="55">
      <c r="A55" s="20" t="inlineStr">
        <is>
          <t>Variable kostnader i alt</t>
        </is>
      </c>
      <c r="B55" s="21" t="inlineStr">
        <is>
          <t>Utrekna</t>
        </is>
      </c>
      <c r="C55" s="22">
        <f>C54+C40+C42+C43+C44+C45</f>
        <v/>
      </c>
      <c r="D55" s="12" t="inlineStr">
        <is>
          <t>kr</t>
        </is>
      </c>
      <c r="E55" s="23" t="inlineStr">
        <is>
          <t>Variable kostnader i alt = Grovfôr – kostnad i alt [C54] + Beiteleige / dyr på beite [C40] + Kraftfôr mm. [C42] + Veterinær, medisin, semin mm. [C43] + Innkjøp dyr [C44] + Andre variable kostnader [C45]</t>
        </is>
      </c>
      <c r="F55" s="24" t="inlineStr">
        <is>
          <t>=C54+C40+C42+C43+C44+C45</t>
        </is>
      </c>
    </row>
    <row r="56">
      <c r="A56" s="25" t="inlineStr">
        <is>
          <t>Dekningsbidrag (DB) utan tilskot</t>
        </is>
      </c>
      <c r="B56" s="26" t="inlineStr">
        <is>
          <t>Utrekna</t>
        </is>
      </c>
      <c r="C56" s="27">
        <f>C50-C55</f>
        <v/>
      </c>
      <c r="D56" s="28" t="inlineStr">
        <is>
          <t>kr</t>
        </is>
      </c>
      <c r="E56" s="29" t="inlineStr">
        <is>
          <t>Dekningsbidrag (DB) utan tilskot = Produksjonsinntekter i alt [C50] − Variable kostnader i alt [C55]</t>
        </is>
      </c>
      <c r="F56" s="30" t="inlineStr">
        <is>
          <t>=C50-C55</t>
        </is>
      </c>
    </row>
    <row r="57">
      <c r="A57" s="25" t="inlineStr">
        <is>
          <t>Dekningsbidrag (DB) med tilskot</t>
        </is>
      </c>
      <c r="B57" s="26" t="inlineStr">
        <is>
          <t>Utrekna</t>
        </is>
      </c>
      <c r="C57" s="27">
        <f>C56+C21</f>
        <v/>
      </c>
      <c r="D57" s="28" t="inlineStr">
        <is>
          <t>kr</t>
        </is>
      </c>
      <c r="E57" s="29" t="inlineStr">
        <is>
          <t>Dekningsbidrag (DB) med tilskot = Dekningsbidrag (DB) utan tilskot [C56] + Produksjonstilskot fordelt på produksjonen [C21]</t>
        </is>
      </c>
      <c r="F57" s="30" t="inlineStr">
        <is>
          <t>=C56+C21</t>
        </is>
      </c>
    </row>
    <row r="58">
      <c r="A58" s="20" t="inlineStr">
        <is>
          <t>DB m/tilskot etter maskin- og innandørskostnad</t>
        </is>
      </c>
      <c r="B58" s="21" t="inlineStr">
        <is>
          <t>Utrekna</t>
        </is>
      </c>
      <c r="C58" s="22">
        <f>C57-C47-C48</f>
        <v/>
      </c>
      <c r="D58" s="12" t="inlineStr">
        <is>
          <t>kr</t>
        </is>
      </c>
      <c r="E58" s="23" t="inlineStr">
        <is>
          <t>DB m/tilskot etter maskin- og innandørskostnad = Dekningsbidrag (DB) med tilskot [C57] − Maskinkostnader fordelt [C47] − Innandørsmekanisering fordelt [C48]</t>
        </is>
      </c>
      <c r="F58" s="24" t="inlineStr">
        <is>
          <t>=C57-C47-C48</t>
        </is>
      </c>
    </row>
    <row r="59">
      <c r="A59" s="20" t="inlineStr">
        <is>
          <t>«Kueiningar»</t>
        </is>
      </c>
      <c r="B59" s="21" t="inlineStr">
        <is>
          <t>Utrekna</t>
        </is>
      </c>
      <c r="C59" s="38">
        <f>((C11+C12)+(C13+C14)/4+(C15+C16)/8)/2</f>
        <v/>
      </c>
      <c r="D59" s="12" t="inlineStr">
        <is>
          <t>stk</t>
        </is>
      </c>
      <c r="E59" s="23" t="inlineStr">
        <is>
          <t>«Kueiningar» = ((Kyr pr 1.1. [C11] + Kyr pr 31.12. [C12]) + (Kviger/oksar over 12 md pr 1.1. [C13] + Kviger/oksar over 12 md pr 31.12. [C14]) / 4 + (Kalvar/ungdyr under 12 md pr 1.1. [C15] + Kalvar/ungdyr under 12 md pr 31.12. [C16]) / 8) / 2   (Vekting av dyretal (snitt 1.1. og 31.12.) – sjå formel)</t>
        </is>
      </c>
      <c r="F59" s="24" t="inlineStr">
        <is>
          <t>=((C11+C12)+(C13+C14)/4+(C15+C16)/8)/2</t>
        </is>
      </c>
    </row>
    <row r="60">
      <c r="A60" s="20" t="inlineStr">
        <is>
          <t>Påsettprosent</t>
        </is>
      </c>
      <c r="B60" s="21" t="inlineStr">
        <is>
          <t>Utrekna</t>
        </is>
      </c>
      <c r="C60" s="35">
        <f>IF((C11+C12)=0,0,((C13+C14+C15+C16)/2)/(C11+C12))</f>
        <v/>
      </c>
      <c r="D60" s="12" t="inlineStr">
        <is>
          <t>%</t>
        </is>
      </c>
      <c r="E60" s="23" t="inlineStr">
        <is>
          <t>Påsettprosent = ((Kviger/oksar over 12 md pr 1.1. [C13] + Kviger/oksar over 12 md pr 31.12. [C14] + Kalvar/ungdyr under 12 md pr 1.1. [C15] + Kalvar/ungdyr under 12 md pr 31.12. [C16]) / 2) ÷ (Kyr pr 1.1. [C11] + Kyr pr 31.12. [C12])   (Snitt ungdyr / 2 delt på (kyr 1.1. + kyr 31.12.) – same oppsett som eksempelanalysen)</t>
        </is>
      </c>
      <c r="F60" s="24" t="inlineStr">
        <is>
          <t>=IF((C11+C12)=0,0,((C13+C14+C15+C16)/2)/(C11+C12))</t>
        </is>
      </c>
    </row>
    <row r="61">
      <c r="A61" s="18" t="inlineStr">
        <is>
          <t>5. OUTPUT – Per eining (pr årsku)</t>
        </is>
      </c>
      <c r="B61" s="19" t="n"/>
      <c r="C61" s="19" t="n"/>
      <c r="D61" s="19" t="n"/>
      <c r="E61" s="19" t="n"/>
      <c r="F61" s="19" t="n"/>
    </row>
    <row r="62">
      <c r="A62" s="18" t="inlineStr">
        <is>
          <t>Produksjonsinntekter pr årsku</t>
        </is>
      </c>
      <c r="B62" s="19" t="n"/>
      <c r="C62" s="19" t="n"/>
      <c r="D62" s="19" t="n"/>
      <c r="E62" s="19" t="n"/>
      <c r="F62" s="19" t="n"/>
    </row>
    <row r="63">
      <c r="A63" s="20" t="inlineStr">
        <is>
          <t>Mjølk</t>
        </is>
      </c>
      <c r="B63" s="21" t="inlineStr">
        <is>
          <t>Utrekna</t>
        </is>
      </c>
      <c r="C63" s="38">
        <f>IF((C7)=0,0,(C22)/(C7))</f>
        <v/>
      </c>
      <c r="D63" s="12" t="inlineStr">
        <is>
          <t>kr</t>
        </is>
      </c>
      <c r="E63" s="23" t="inlineStr">
        <is>
          <t>Mjølk = Mjølk [C22] ÷ Tal årskyr [C7]</t>
        </is>
      </c>
      <c r="F63" s="24" t="inlineStr">
        <is>
          <t>=IF((C7)=0,0,(C22)/(C7))</t>
        </is>
      </c>
    </row>
    <row r="64">
      <c r="A64" s="20" t="inlineStr">
        <is>
          <t>Slakt</t>
        </is>
      </c>
      <c r="B64" s="21" t="inlineStr">
        <is>
          <t>Utrekna</t>
        </is>
      </c>
      <c r="C64" s="38">
        <f>IF((C7)=0,0,(C23)/(C7))</f>
        <v/>
      </c>
      <c r="D64" s="12" t="inlineStr">
        <is>
          <t>kr</t>
        </is>
      </c>
      <c r="E64" s="23" t="inlineStr">
        <is>
          <t>Slakt = Slakt [C23] ÷ Tal årskyr [C7]</t>
        </is>
      </c>
      <c r="F64" s="24" t="inlineStr">
        <is>
          <t>=IF((C7)=0,0,(C23)/(C7))</t>
        </is>
      </c>
    </row>
    <row r="65">
      <c r="A65" s="20" t="inlineStr">
        <is>
          <t>Livdyrsal</t>
        </is>
      </c>
      <c r="B65" s="21" t="inlineStr">
        <is>
          <t>Utrekna</t>
        </is>
      </c>
      <c r="C65" s="38">
        <f>IF((C7)=0,0,(C24)/(C7))</f>
        <v/>
      </c>
      <c r="D65" s="12" t="inlineStr">
        <is>
          <t>kr</t>
        </is>
      </c>
      <c r="E65" s="23" t="inlineStr">
        <is>
          <t>Livdyrsal = Livdyrsal [C24] ÷ Tal årskyr [C7]</t>
        </is>
      </c>
      <c r="F65" s="24" t="inlineStr">
        <is>
          <t>=IF((C7)=0,0,(C24)/(C7))</t>
        </is>
      </c>
    </row>
    <row r="66">
      <c r="A66" s="20" t="inlineStr">
        <is>
          <t>Buskap, beholdningsendring (+ = auke)</t>
        </is>
      </c>
      <c r="B66" s="21" t="inlineStr">
        <is>
          <t>Utrekna</t>
        </is>
      </c>
      <c r="C66" s="38">
        <f>IF((C7)=0,0,(C25)/(C7))</f>
        <v/>
      </c>
      <c r="D66" s="12" t="inlineStr">
        <is>
          <t>kr</t>
        </is>
      </c>
      <c r="E66" s="23" t="inlineStr">
        <is>
          <t>Buskap, beholdningsendring (+ = auke) = Buskap, beholdningsendring (+ = auke) [C25] ÷ Tal årskyr [C7]</t>
        </is>
      </c>
      <c r="F66" s="24" t="inlineStr">
        <is>
          <t>=IF((C7)=0,0,(C25)/(C7))</t>
        </is>
      </c>
    </row>
    <row r="67">
      <c r="A67" s="20" t="inlineStr">
        <is>
          <t>Andre inntekter</t>
        </is>
      </c>
      <c r="B67" s="21" t="inlineStr">
        <is>
          <t>Utrekna</t>
        </is>
      </c>
      <c r="C67" s="38">
        <f>IF((C7)=0,0,(C26)/(C7))</f>
        <v/>
      </c>
      <c r="D67" s="12" t="inlineStr">
        <is>
          <t>kr</t>
        </is>
      </c>
      <c r="E67" s="23" t="inlineStr">
        <is>
          <t>Andre inntekter = Andre inntekter [C26] ÷ Tal årskyr [C7]</t>
        </is>
      </c>
      <c r="F67" s="24" t="inlineStr">
        <is>
          <t>=IF((C7)=0,0,(C26)/(C7))</t>
        </is>
      </c>
    </row>
    <row r="68">
      <c r="A68" s="20" t="inlineStr">
        <is>
          <t>Produksjonsinntekter i alt</t>
        </is>
      </c>
      <c r="B68" s="21" t="inlineStr">
        <is>
          <t>Utrekna</t>
        </is>
      </c>
      <c r="C68" s="38">
        <f>IF((C7)=0,0,(C50)/(C7))</f>
        <v/>
      </c>
      <c r="D68" s="12" t="inlineStr">
        <is>
          <t>kr</t>
        </is>
      </c>
      <c r="E68" s="23" t="inlineStr">
        <is>
          <t>Produksjonsinntekter i alt = Produksjonsinntekter i alt [C50] ÷ Tal årskyr [C7]</t>
        </is>
      </c>
      <c r="F68" s="24" t="inlineStr">
        <is>
          <t>=IF((C7)=0,0,(C50)/(C7))</t>
        </is>
      </c>
    </row>
    <row r="69">
      <c r="A69" s="18" t="inlineStr">
        <is>
          <t>Variable kostnader pr årsku</t>
        </is>
      </c>
      <c r="B69" s="19" t="n"/>
      <c r="C69" s="19" t="n"/>
      <c r="D69" s="19" t="n"/>
      <c r="E69" s="19" t="n"/>
      <c r="F69" s="19" t="n"/>
    </row>
    <row r="70">
      <c r="A70" s="20" t="inlineStr">
        <is>
          <t>Eigen grovfôrproduksjon</t>
        </is>
      </c>
      <c r="B70" s="21" t="inlineStr">
        <is>
          <t>Utrekna</t>
        </is>
      </c>
      <c r="C70" s="38">
        <f>IF((C7)=0,0,(C53)/(C7))</f>
        <v/>
      </c>
      <c r="D70" s="12" t="inlineStr">
        <is>
          <t>kr</t>
        </is>
      </c>
      <c r="E70" s="23" t="inlineStr">
        <is>
          <t>Eigen grovfôrproduksjon = Sum eigen grovfôrproduksjon (utan lagerendring) [C53] ÷ Tal årskyr [C7]</t>
        </is>
      </c>
      <c r="F70" s="24" t="inlineStr">
        <is>
          <t>=IF((C7)=0,0,(C53)/(C7))</t>
        </is>
      </c>
    </row>
    <row r="71">
      <c r="A71" s="20" t="inlineStr">
        <is>
          <t>Kjøpt grovfôr</t>
        </is>
      </c>
      <c r="B71" s="21" t="inlineStr">
        <is>
          <t>Utrekna</t>
        </is>
      </c>
      <c r="C71" s="38">
        <f>IF((C7)=0,0,(C39)/(C7))</f>
        <v/>
      </c>
      <c r="D71" s="12" t="inlineStr">
        <is>
          <t>kr</t>
        </is>
      </c>
      <c r="E71" s="23" t="inlineStr">
        <is>
          <t>Kjøpt grovfôr = Kjøp grovfôr [C39] ÷ Tal årskyr [C7]</t>
        </is>
      </c>
      <c r="F71" s="24" t="inlineStr">
        <is>
          <t>=IF((C7)=0,0,(C39)/(C7))</t>
        </is>
      </c>
    </row>
    <row r="72">
      <c r="A72" s="20" t="inlineStr">
        <is>
          <t>Varelager endring grovfôr</t>
        </is>
      </c>
      <c r="B72" s="21" t="inlineStr">
        <is>
          <t>Utrekna</t>
        </is>
      </c>
      <c r="C72" s="38">
        <f>IF((C7)=0,0,(C37+C41)/(C7))</f>
        <v/>
      </c>
      <c r="D72" s="12" t="inlineStr">
        <is>
          <t>kr</t>
        </is>
      </c>
      <c r="E72" s="23" t="inlineStr">
        <is>
          <t>Varelager endring grovfôr = (Endring eigenprodusert grovfôr (+ = nedgang i lager) [C37] + Endring innkjøpt grovfôrlager [C41]) ÷ Tal årskyr [C7]</t>
        </is>
      </c>
      <c r="F72" s="24" t="inlineStr">
        <is>
          <t>=IF((C7)=0,0,(C37+C41)/(C7))</t>
        </is>
      </c>
    </row>
    <row r="73">
      <c r="A73" s="20" t="inlineStr">
        <is>
          <t>Beiteleige</t>
        </is>
      </c>
      <c r="B73" s="21" t="inlineStr">
        <is>
          <t>Utrekna</t>
        </is>
      </c>
      <c r="C73" s="38">
        <f>IF((C7)=0,0,(C40)/(C7))</f>
        <v/>
      </c>
      <c r="D73" s="12" t="inlineStr">
        <is>
          <t>kr</t>
        </is>
      </c>
      <c r="E73" s="23" t="inlineStr">
        <is>
          <t>Beiteleige = Beiteleige / dyr på beite [C40] ÷ Tal årskyr [C7]</t>
        </is>
      </c>
      <c r="F73" s="24" t="inlineStr">
        <is>
          <t>=IF((C7)=0,0,(C40)/(C7))</t>
        </is>
      </c>
    </row>
    <row r="74">
      <c r="A74" s="20" t="inlineStr">
        <is>
          <t>Kraftfôr mm.</t>
        </is>
      </c>
      <c r="B74" s="21" t="inlineStr">
        <is>
          <t>Utrekna</t>
        </is>
      </c>
      <c r="C74" s="38">
        <f>IF((C7)=0,0,(C42)/(C7))</f>
        <v/>
      </c>
      <c r="D74" s="12" t="inlineStr">
        <is>
          <t>kr</t>
        </is>
      </c>
      <c r="E74" s="23" t="inlineStr">
        <is>
          <t>Kraftfôr mm. = Kraftfôr mm. [C42] ÷ Tal årskyr [C7]</t>
        </is>
      </c>
      <c r="F74" s="24" t="inlineStr">
        <is>
          <t>=IF((C7)=0,0,(C42)/(C7))</t>
        </is>
      </c>
    </row>
    <row r="75">
      <c r="A75" s="20" t="inlineStr">
        <is>
          <t>Veterinær, medisin, semin mm.</t>
        </is>
      </c>
      <c r="B75" s="21" t="inlineStr">
        <is>
          <t>Utrekna</t>
        </is>
      </c>
      <c r="C75" s="38">
        <f>IF((C7)=0,0,(C43)/(C7))</f>
        <v/>
      </c>
      <c r="D75" s="12" t="inlineStr">
        <is>
          <t>kr</t>
        </is>
      </c>
      <c r="E75" s="23" t="inlineStr">
        <is>
          <t>Veterinær, medisin, semin mm. = Veterinær, medisin, semin mm. [C43] ÷ Tal årskyr [C7]</t>
        </is>
      </c>
      <c r="F75" s="24" t="inlineStr">
        <is>
          <t>=IF((C7)=0,0,(C43)/(C7))</t>
        </is>
      </c>
    </row>
    <row r="76">
      <c r="A76" s="20" t="inlineStr">
        <is>
          <t>Innkjøp dyr</t>
        </is>
      </c>
      <c r="B76" s="21" t="inlineStr">
        <is>
          <t>Utrekna</t>
        </is>
      </c>
      <c r="C76" s="38">
        <f>IF((C7)=0,0,(C44)/(C7))</f>
        <v/>
      </c>
      <c r="D76" s="12" t="inlineStr">
        <is>
          <t>kr</t>
        </is>
      </c>
      <c r="E76" s="23" t="inlineStr">
        <is>
          <t>Innkjøp dyr = Innkjøp dyr [C44] ÷ Tal årskyr [C7]</t>
        </is>
      </c>
      <c r="F76" s="24" t="inlineStr">
        <is>
          <t>=IF((C7)=0,0,(C44)/(C7))</t>
        </is>
      </c>
    </row>
    <row r="77">
      <c r="A77" s="20" t="inlineStr">
        <is>
          <t>Andre variable kostnader</t>
        </is>
      </c>
      <c r="B77" s="21" t="inlineStr">
        <is>
          <t>Utrekna</t>
        </is>
      </c>
      <c r="C77" s="38">
        <f>IF((C7)=0,0,(C45)/(C7))</f>
        <v/>
      </c>
      <c r="D77" s="12" t="inlineStr">
        <is>
          <t>kr</t>
        </is>
      </c>
      <c r="E77" s="23" t="inlineStr">
        <is>
          <t>Andre variable kostnader = Andre variable kostnader [C45] ÷ Tal årskyr [C7]</t>
        </is>
      </c>
      <c r="F77" s="24" t="inlineStr">
        <is>
          <t>=IF((C7)=0,0,(C45)/(C7))</t>
        </is>
      </c>
    </row>
    <row r="78">
      <c r="A78" s="20" t="inlineStr">
        <is>
          <t>Sum variable kostnader</t>
        </is>
      </c>
      <c r="B78" s="21" t="inlineStr">
        <is>
          <t>Utrekna</t>
        </is>
      </c>
      <c r="C78" s="38">
        <f>IF((C7)=0,0,(C55)/(C7))</f>
        <v/>
      </c>
      <c r="D78" s="12" t="inlineStr">
        <is>
          <t>kr</t>
        </is>
      </c>
      <c r="E78" s="23" t="inlineStr">
        <is>
          <t>Sum variable kostnader = Variable kostnader i alt [C55] ÷ Tal årskyr [C7]</t>
        </is>
      </c>
      <c r="F78" s="24" t="inlineStr">
        <is>
          <t>=IF((C7)=0,0,(C55)/(C7))</t>
        </is>
      </c>
    </row>
    <row r="79">
      <c r="A79" s="18" t="inlineStr">
        <is>
          <t>Resultat pr årsku</t>
        </is>
      </c>
      <c r="B79" s="19" t="n"/>
      <c r="C79" s="19" t="n"/>
      <c r="D79" s="19" t="n"/>
      <c r="E79" s="19" t="n"/>
      <c r="F79" s="19" t="n"/>
    </row>
    <row r="80">
      <c r="A80" s="20" t="inlineStr">
        <is>
          <t>DB utan tilskot</t>
        </is>
      </c>
      <c r="B80" s="21" t="inlineStr">
        <is>
          <t>Utrekna</t>
        </is>
      </c>
      <c r="C80" s="38">
        <f>IF((C7)=0,0,(C56)/(C7))</f>
        <v/>
      </c>
      <c r="D80" s="12" t="inlineStr">
        <is>
          <t>kr</t>
        </is>
      </c>
      <c r="E80" s="23" t="inlineStr">
        <is>
          <t>DB utan tilskot = Dekningsbidrag (DB) utan tilskot [C56] ÷ Tal årskyr [C7]</t>
        </is>
      </c>
      <c r="F80" s="24" t="inlineStr">
        <is>
          <t>=IF((C7)=0,0,(C56)/(C7))</t>
        </is>
      </c>
    </row>
    <row r="81">
      <c r="A81" s="20" t="inlineStr">
        <is>
          <t>Tilskot</t>
        </is>
      </c>
      <c r="B81" s="21" t="inlineStr">
        <is>
          <t>Utrekna</t>
        </is>
      </c>
      <c r="C81" s="38">
        <f>IF((C7)=0,0,(C21)/(C7))</f>
        <v/>
      </c>
      <c r="D81" s="12" t="inlineStr">
        <is>
          <t>kr</t>
        </is>
      </c>
      <c r="E81" s="23" t="inlineStr">
        <is>
          <t>Tilskot = Produksjonstilskot fordelt på produksjonen [C21] ÷ Tal årskyr [C7]</t>
        </is>
      </c>
      <c r="F81" s="24" t="inlineStr">
        <is>
          <t>=IF((C7)=0,0,(C21)/(C7))</t>
        </is>
      </c>
    </row>
    <row r="82">
      <c r="A82" s="20" t="inlineStr">
        <is>
          <t>DB med tilskot</t>
        </is>
      </c>
      <c r="B82" s="21" t="inlineStr">
        <is>
          <t>Utrekna</t>
        </is>
      </c>
      <c r="C82" s="38">
        <f>IF((C7)=0,0,(C57)/(C7))</f>
        <v/>
      </c>
      <c r="D82" s="12" t="inlineStr">
        <is>
          <t>kr</t>
        </is>
      </c>
      <c r="E82" s="23" t="inlineStr">
        <is>
          <t>DB med tilskot = Dekningsbidrag (DB) med tilskot [C57] ÷ Tal årskyr [C7]</t>
        </is>
      </c>
      <c r="F82" s="24" t="inlineStr">
        <is>
          <t>=IF((C7)=0,0,(C57)/(C7))</t>
        </is>
      </c>
    </row>
    <row r="83">
      <c r="A83" s="20" t="inlineStr">
        <is>
          <t>Maskinkostnader</t>
        </is>
      </c>
      <c r="B83" s="21" t="inlineStr">
        <is>
          <t>Utrekna</t>
        </is>
      </c>
      <c r="C83" s="38">
        <f>IF((C7)=0,0,(C47)/(C7))</f>
        <v/>
      </c>
      <c r="D83" s="12" t="inlineStr">
        <is>
          <t>kr</t>
        </is>
      </c>
      <c r="E83" s="23" t="inlineStr">
        <is>
          <t>Maskinkostnader = Maskinkostnader fordelt [C47] ÷ Tal årskyr [C7]</t>
        </is>
      </c>
      <c r="F83" s="24" t="inlineStr">
        <is>
          <t>=IF((C7)=0,0,(C47)/(C7))</t>
        </is>
      </c>
    </row>
    <row r="84">
      <c r="A84" s="20" t="inlineStr">
        <is>
          <t>Innandørsmekanisering</t>
        </is>
      </c>
      <c r="B84" s="21" t="inlineStr">
        <is>
          <t>Utrekna</t>
        </is>
      </c>
      <c r="C84" s="38">
        <f>IF((C7)=0,0,(C48)/(C7))</f>
        <v/>
      </c>
      <c r="D84" s="12" t="inlineStr">
        <is>
          <t>kr</t>
        </is>
      </c>
      <c r="E84" s="23" t="inlineStr">
        <is>
          <t>Innandørsmekanisering = Innandørsmekanisering fordelt [C48] ÷ Tal årskyr [C7]</t>
        </is>
      </c>
      <c r="F84" s="24" t="inlineStr">
        <is>
          <t>=IF((C7)=0,0,(C48)/(C7))</t>
        </is>
      </c>
    </row>
    <row r="85">
      <c r="A85" s="20" t="inlineStr">
        <is>
          <t>DB m/tilskot etter maskin og innandørsmek.</t>
        </is>
      </c>
      <c r="B85" s="21" t="inlineStr">
        <is>
          <t>Utrekna</t>
        </is>
      </c>
      <c r="C85" s="38">
        <f>IF((C7)=0,0,(C58)/(C7))</f>
        <v/>
      </c>
      <c r="D85" s="12" t="inlineStr">
        <is>
          <t>kr</t>
        </is>
      </c>
      <c r="E85" s="23" t="inlineStr">
        <is>
          <t>DB m/tilskot etter maskin og innandørsmek. = DB m/tilskot etter maskin- og innandørskostnad [C58] ÷ Tal årskyr [C7]</t>
        </is>
      </c>
      <c r="F85" s="24" t="inlineStr">
        <is>
          <t>=IF((C7)=0,0,(C58)/(C7))</t>
        </is>
      </c>
    </row>
    <row r="86">
      <c r="A86" s="18" t="inlineStr">
        <is>
          <t>6. OUTPUT – Nøkkeltal</t>
        </is>
      </c>
      <c r="B86" s="19" t="n"/>
      <c r="C86" s="19" t="n"/>
      <c r="D86" s="19" t="n"/>
      <c r="E86" s="19" t="n"/>
      <c r="F86" s="19" t="n"/>
    </row>
    <row r="87">
      <c r="A87" s="25" t="inlineStr">
        <is>
          <t>DB pr liter mjølk u/tilskot</t>
        </is>
      </c>
      <c r="B87" s="26" t="inlineStr">
        <is>
          <t>Utrekna</t>
        </is>
      </c>
      <c r="C87" s="39">
        <f>IF((C8)=0,0,(C56)/(C8))</f>
        <v/>
      </c>
      <c r="D87" s="28" t="inlineStr">
        <is>
          <t>kr</t>
        </is>
      </c>
      <c r="E87" s="29" t="inlineStr">
        <is>
          <t>DB pr liter mjølk u/tilskot = Dekningsbidrag (DB) utan tilskot [C56] ÷ Levert mjølk [C8]</t>
        </is>
      </c>
      <c r="F87" s="30" t="inlineStr">
        <is>
          <t>=IF((C8)=0,0,(C56)/(C8))</t>
        </is>
      </c>
    </row>
    <row r="88">
      <c r="A88" s="25" t="inlineStr">
        <is>
          <t>DB pr årsku u/tilskot</t>
        </is>
      </c>
      <c r="B88" s="26" t="inlineStr">
        <is>
          <t>Utrekna</t>
        </is>
      </c>
      <c r="C88" s="39">
        <f>IF((C7)=0,0,(C56)/(C7))</f>
        <v/>
      </c>
      <c r="D88" s="28" t="inlineStr">
        <is>
          <t>kr</t>
        </is>
      </c>
      <c r="E88" s="29" t="inlineStr">
        <is>
          <t>DB pr årsku u/tilskot = Dekningsbidrag (DB) utan tilskot [C56] ÷ Tal årskyr [C7]</t>
        </is>
      </c>
      <c r="F88" s="30" t="inlineStr">
        <is>
          <t>=IF((C7)=0,0,(C56)/(C7))</t>
        </is>
      </c>
    </row>
    <row r="89">
      <c r="A89" s="25" t="inlineStr">
        <is>
          <t>DB pr årsku m/tilskot</t>
        </is>
      </c>
      <c r="B89" s="26" t="inlineStr">
        <is>
          <t>Utrekna</t>
        </is>
      </c>
      <c r="C89" s="39">
        <f>IF((C7)=0,0,(C57)/(C7))</f>
        <v/>
      </c>
      <c r="D89" s="28" t="inlineStr">
        <is>
          <t>kr</t>
        </is>
      </c>
      <c r="E89" s="29" t="inlineStr">
        <is>
          <t>DB pr årsku m/tilskot = Dekningsbidrag (DB) med tilskot [C57] ÷ Tal årskyr [C7]</t>
        </is>
      </c>
      <c r="F89" s="30" t="inlineStr">
        <is>
          <t>=IF((C7)=0,0,(C57)/(C7))</t>
        </is>
      </c>
    </row>
    <row r="90">
      <c r="A90" s="25" t="inlineStr">
        <is>
          <t>DB pr dekar grovfôr u/tilskot</t>
        </is>
      </c>
      <c r="B90" s="26" t="inlineStr">
        <is>
          <t>Utrekna</t>
        </is>
      </c>
      <c r="C90" s="39">
        <f>IF(('Grovfôr'!C21*IF(('Grovfôr'!C38)=0,0,(C53)/('Grovfôr'!C38)))=0,0,(C56)/('Grovfôr'!C21*IF(('Grovfôr'!C38)=0,0,(C53)/('Grovfôr'!C38))))</f>
        <v/>
      </c>
      <c r="D90" s="28" t="inlineStr">
        <is>
          <t>kr</t>
        </is>
      </c>
      <c r="E90" s="29" t="inlineStr">
        <is>
          <t>DB pr dekar grovfôr u/tilskot = Dekningsbidrag (DB) utan tilskot [C56] ÷ (Korrigert grovfôrareal (overflate/1,25 + fulldyrka + kulturbeite/2,5) [Grovfôr!C21] × Sum eigen grovfôrproduksjon (utan lagerendring) [C53] ÷ Sum eigen grovfôrkostnad (fordelingsnøkkel areal) [Grovfôr!C38])   (Grovfôrarealet blir fordelt etter produksjonen sin del av eigen grovfôrkostnad)</t>
        </is>
      </c>
      <c r="F90" s="30" t="inlineStr">
        <is>
          <t>=IF(('Grovfôr'!C21*IF(('Grovfôr'!C38)=0,0,(C53)/('Grovfôr'!C38)))=0,0,(C56)/('Grovfôr'!C21*IF(('Grovfôr'!C38)=0,0,(C53)/('Grovfôr'!C38))))</t>
        </is>
      </c>
    </row>
    <row r="91">
      <c r="A91" s="25" t="inlineStr">
        <is>
          <t>DB pr dekar grovfôr m/tilskot</t>
        </is>
      </c>
      <c r="B91" s="26" t="inlineStr">
        <is>
          <t>Utrekna</t>
        </is>
      </c>
      <c r="C91" s="39">
        <f>IF(('Grovfôr'!C21*IF(('Grovfôr'!C38)=0,0,(C53)/('Grovfôr'!C38)))=0,0,(C57)/('Grovfôr'!C21*IF(('Grovfôr'!C38)=0,0,(C53)/('Grovfôr'!C38))))</f>
        <v/>
      </c>
      <c r="D91" s="28" t="inlineStr">
        <is>
          <t>kr</t>
        </is>
      </c>
      <c r="E91" s="29" t="inlineStr">
        <is>
          <t>DB pr dekar grovfôr m/tilskot = Dekningsbidrag (DB) med tilskot [C57] ÷ (Korrigert grovfôrareal (overflate/1,25 + fulldyrka + kulturbeite/2,5) [Grovfôr!C21] × Sum eigen grovfôrproduksjon (utan lagerendring) [C53] ÷ Sum eigen grovfôrkostnad (fordelingsnøkkel areal) [Grovfôr!C38])</t>
        </is>
      </c>
      <c r="F91" s="30" t="inlineStr">
        <is>
          <t>=IF(('Grovfôr'!C21*IF(('Grovfôr'!C38)=0,0,(C53)/('Grovfôr'!C38)))=0,0,(C57)/('Grovfôr'!C21*IF(('Grovfôr'!C38)=0,0,(C53)/('Grovfôr'!C38))))</t>
        </is>
      </c>
    </row>
    <row r="92">
      <c r="A92" s="25" t="inlineStr">
        <is>
          <t>Variabel grovfôrkostnad pr dekar</t>
        </is>
      </c>
      <c r="B92" s="26" t="inlineStr">
        <is>
          <t>Lenkje frå anna ark</t>
        </is>
      </c>
      <c r="C92" s="40">
        <f>'Grovfôr'!C52</f>
        <v/>
      </c>
      <c r="D92" s="28" t="inlineStr">
        <is>
          <t>kr</t>
        </is>
      </c>
      <c r="E92" s="29" t="inlineStr">
        <is>
          <t>Variabel grovfôrkostnad pr dekar = Variabel grovfôrkostnad pr korrigert dekar [Grovfôr!C52]</t>
        </is>
      </c>
      <c r="F92" s="30" t="inlineStr">
        <is>
          <t>='Grovfôr'!C52</t>
        </is>
      </c>
    </row>
    <row r="93">
      <c r="A93" s="25" t="inlineStr">
        <is>
          <t>Maskinkostnader pr dekar grovfôr</t>
        </is>
      </c>
      <c r="B93" s="26" t="inlineStr">
        <is>
          <t>Lenkje frå anna ark</t>
        </is>
      </c>
      <c r="C93" s="40">
        <f>'Grovfôr'!C53</f>
        <v/>
      </c>
      <c r="D93" s="28" t="inlineStr">
        <is>
          <t>kr</t>
        </is>
      </c>
      <c r="E93" s="29" t="inlineStr">
        <is>
          <t>Maskinkostnader pr dekar grovfôr = Maskinkostnader pr dekar grovfôr [Grovfôr!C53]</t>
        </is>
      </c>
      <c r="F93" s="30" t="inlineStr">
        <is>
          <t>='Grovfôr'!C53</t>
        </is>
      </c>
    </row>
    <row r="94">
      <c r="A94" s="25" t="inlineStr">
        <is>
          <t>Korrigerte dekar pr «kueining»</t>
        </is>
      </c>
      <c r="B94" s="26" t="inlineStr">
        <is>
          <t>Lenkje frå anna ark</t>
        </is>
      </c>
      <c r="C94" s="40">
        <f>'Grovfôr'!C54</f>
        <v/>
      </c>
      <c r="D94" s="28" t="inlineStr">
        <is>
          <t>da</t>
        </is>
      </c>
      <c r="E94" s="29" t="inlineStr">
        <is>
          <t>Korrigerte dekar pr «kueining» = Korrigerte dekar pr «kueining» [Grovfôr!C54]</t>
        </is>
      </c>
      <c r="F94" s="30" t="inlineStr">
        <is>
          <t>='Grovfôr'!C54</t>
        </is>
      </c>
    </row>
    <row r="95">
      <c r="A95" s="25" t="inlineStr">
        <is>
          <t>Oppnådd mjølkepris pr liter (u/distriktstilskot)</t>
        </is>
      </c>
      <c r="B95" s="26" t="inlineStr">
        <is>
          <t>Utrekna</t>
        </is>
      </c>
      <c r="C95" s="39">
        <f>IF((C8)=0,0,(C22-C27)/(C8))</f>
        <v/>
      </c>
      <c r="D95" s="28" t="inlineStr">
        <is>
          <t>kr</t>
        </is>
      </c>
      <c r="E95" s="29" t="inlineStr">
        <is>
          <t>Oppnådd mjølkepris pr liter (u/distriktstilskot) = (Mjølk [C22] − Herav distriktstilskot mjølk [C27]) ÷ Levert mjølk [C8]</t>
        </is>
      </c>
      <c r="F95" s="30" t="inlineStr">
        <is>
          <t>=IF((C8)=0,0,(C22-C27)/(C8))</t>
        </is>
      </c>
    </row>
    <row r="96">
      <c r="A96" s="25" t="inlineStr">
        <is>
          <t>Oppnådd slaktepris pr kg (u/distriktstilskot)</t>
        </is>
      </c>
      <c r="B96" s="26" t="inlineStr">
        <is>
          <t>Utrekna</t>
        </is>
      </c>
      <c r="C96" s="39">
        <f>IF((C10)=0,0,(C23-C28)/(C10))</f>
        <v/>
      </c>
      <c r="D96" s="28" t="inlineStr">
        <is>
          <t>kr</t>
        </is>
      </c>
      <c r="E96" s="29" t="inlineStr">
        <is>
          <t>Oppnådd slaktepris pr kg (u/distriktstilskot) = (Slakt [C23] − Herav distriktstilskot kjøt [C28]) ÷ Kg slakt storfe (mjølkeproduksjonen) [C10]</t>
        </is>
      </c>
      <c r="F96" s="30" t="inlineStr">
        <is>
          <t>=IF((C10)=0,0,(C23-C28)/(C10))</t>
        </is>
      </c>
    </row>
    <row r="97">
      <c r="A97" s="25" t="inlineStr">
        <is>
          <t>Maskinkostnader pr liter</t>
        </is>
      </c>
      <c r="B97" s="26" t="inlineStr">
        <is>
          <t>Utrekna</t>
        </is>
      </c>
      <c r="C97" s="39">
        <f>IF((C8)=0,0,(C47)/(C8))</f>
        <v/>
      </c>
      <c r="D97" s="28" t="inlineStr">
        <is>
          <t>kr</t>
        </is>
      </c>
      <c r="E97" s="29" t="inlineStr">
        <is>
          <t>Maskinkostnader pr liter = Maskinkostnader fordelt [C47] ÷ Levert mjølk [C8]</t>
        </is>
      </c>
      <c r="F97" s="30" t="inlineStr">
        <is>
          <t>=IF((C8)=0,0,(C47)/(C8))</t>
        </is>
      </c>
    </row>
    <row r="98">
      <c r="A98" s="25" t="inlineStr">
        <is>
          <t>Innandørsmekanisering pr liter</t>
        </is>
      </c>
      <c r="B98" s="26" t="inlineStr">
        <is>
          <t>Utrekna</t>
        </is>
      </c>
      <c r="C98" s="39">
        <f>IF((C8)=0,0,(C48)/(C8))</f>
        <v/>
      </c>
      <c r="D98" s="28" t="inlineStr">
        <is>
          <t>kr</t>
        </is>
      </c>
      <c r="E98" s="29" t="inlineStr">
        <is>
          <t>Innandørsmekanisering pr liter = Innandørsmekanisering fordelt [C48] ÷ Levert mjølk [C8]</t>
        </is>
      </c>
      <c r="F98" s="30" t="inlineStr">
        <is>
          <t>=IF((C8)=0,0,(C48)/(C8))</t>
        </is>
      </c>
    </row>
    <row r="99">
      <c r="A99" s="25" t="inlineStr">
        <is>
          <t>Innandørsmekanisering pr årsku</t>
        </is>
      </c>
      <c r="B99" s="26" t="inlineStr">
        <is>
          <t>Utrekna</t>
        </is>
      </c>
      <c r="C99" s="39">
        <f>IF((C7)=0,0,(C48)/(C7))</f>
        <v/>
      </c>
      <c r="D99" s="28" t="inlineStr">
        <is>
          <t>kr</t>
        </is>
      </c>
      <c r="E99" s="29" t="inlineStr">
        <is>
          <t>Innandørsmekanisering pr årsku = Innandørsmekanisering fordelt [C48] ÷ Tal årskyr [C7]</t>
        </is>
      </c>
      <c r="F99" s="30" t="inlineStr">
        <is>
          <t>=IF((C7)=0,0,(C48)/(C7))</t>
        </is>
      </c>
    </row>
    <row r="100">
      <c r="A100" s="25" t="inlineStr">
        <is>
          <t>Levert mjølk pr årsku (liter)</t>
        </is>
      </c>
      <c r="B100" s="26" t="inlineStr">
        <is>
          <t>Utrekna</t>
        </is>
      </c>
      <c r="C100" s="27">
        <f>IF((C7)=0,0,(C8)/(C7))</f>
        <v/>
      </c>
      <c r="D100" s="28" t="inlineStr">
        <is>
          <t>liter</t>
        </is>
      </c>
      <c r="E100" s="29" t="inlineStr">
        <is>
          <t>Levert mjølk pr årsku (liter) = Levert mjølk [C8] ÷ Tal årskyr [C7]</t>
        </is>
      </c>
      <c r="F100" s="30" t="inlineStr">
        <is>
          <t>=IF((C7)=0,0,(C8)/(C7))</t>
        </is>
      </c>
    </row>
    <row r="101">
      <c r="A101" s="25" t="inlineStr">
        <is>
          <t>Påsettprosent</t>
        </is>
      </c>
      <c r="B101" s="26" t="inlineStr">
        <is>
          <t>Utrekna</t>
        </is>
      </c>
      <c r="C101" s="33">
        <f>C60</f>
        <v/>
      </c>
      <c r="D101" s="28" t="inlineStr">
        <is>
          <t>%</t>
        </is>
      </c>
      <c r="E101" s="29" t="inlineStr">
        <is>
          <t>Påsettprosent = Påsettprosent [C60]</t>
        </is>
      </c>
      <c r="F101" s="30" t="inlineStr">
        <is>
          <t>=C60</t>
        </is>
      </c>
    </row>
    <row r="102">
      <c r="A102" s="25" t="inlineStr">
        <is>
          <t>Kvoteoppfylling</t>
        </is>
      </c>
      <c r="B102" s="26" t="inlineStr">
        <is>
          <t>Utrekna</t>
        </is>
      </c>
      <c r="C102" s="33">
        <f>IF((C9)=0,0,(C8)/(C9))</f>
        <v/>
      </c>
      <c r="D102" s="28" t="inlineStr">
        <is>
          <t>%</t>
        </is>
      </c>
      <c r="E102" s="29" t="inlineStr">
        <is>
          <t>Kvoteoppfylling = Levert mjølk [C8] ÷ Disponibel mjølkekvote [C9]</t>
        </is>
      </c>
      <c r="F102" s="30" t="inlineStr">
        <is>
          <t>=IF((C9)=0,0,(C8)/(C9))</t>
        </is>
      </c>
    </row>
    <row r="103">
      <c r="A103" s="25" t="inlineStr">
        <is>
          <t>Analysegruppe (påsett)</t>
        </is>
      </c>
      <c r="B103" s="26" t="inlineStr">
        <is>
          <t>Utrekna</t>
        </is>
      </c>
      <c r="C103" s="41">
        <f>IF(C60&lt;=0.8,"Påsett &lt; 80 %",IF(C60&lt;1.2,"Påsett 80–120 %","Påsett &gt; 120 %"))</f>
        <v/>
      </c>
      <c r="D103" s="28" t="inlineStr">
        <is>
          <t>tekst</t>
        </is>
      </c>
      <c r="E103" s="29" t="inlineStr">
        <is>
          <t>Analysegruppe (påsett) = HVIS(Påsettprosent [C60]&lt;=0,8; "Påsett &lt; 80 %"; HVIS(Påsettprosent [C60]&lt;1,2; "Påsett 80–120 %"; "Påsett &gt; 120 %"))   (Tilsvarar arka «Mjølk &lt;80%», «Mjølk 80-120%» og «Mjølk &gt;120%» i eksempelanalysen)</t>
        </is>
      </c>
      <c r="F103" s="30" t="inlineStr">
        <is>
          <t>=IF(C60&lt;=0.8,"Påsett &lt; 80 %",IF(C60&lt;1.2,"Påsett 80–120 %","Påsett &gt; 120 %"))</t>
        </is>
      </c>
    </row>
  </sheetData>
  <pageMargins left="0.75" right="0.75" top="1" bottom="1" header="0.5" footer="0.5"/>
  <pageSetup orientation="landscape" fitToHeight="0" fitToWidth="1"/>
</worksheet>
</file>

<file path=xl/worksheets/sheet16.xml><?xml version="1.0" encoding="utf-8"?>
<worksheet xmlns="http://schemas.openxmlformats.org/spreadsheetml/2006/main">
  <sheetPr>
    <outlinePr summaryBelow="1" summaryRight="1"/>
    <pageSetUpPr fitToPage="1"/>
  </sheetPr>
  <dimension ref="A1:F9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0" customWidth="1" min="1" max="1"/>
    <col width="34" customWidth="1" min="2" max="2"/>
    <col width="16" customWidth="1" min="3" max="3"/>
    <col width="10" customWidth="1" min="4" max="4"/>
    <col width="78" customWidth="1" min="5" max="5"/>
    <col width="46" customWidth="1" min="6" max="6"/>
  </cols>
  <sheetData>
    <row r="1" ht="22" customHeight="1">
      <c r="A1" s="1" t="inlineStr">
        <is>
          <t>Okseproduksjon  –  driftsgrein 6120-6123</t>
        </is>
      </c>
    </row>
    <row r="2">
      <c r="A2" s="7" t="inlineStr">
        <is>
          <t>Oksar/kastratar til slakt (driftsgrein 6120–6123).</t>
        </is>
      </c>
    </row>
    <row r="3">
      <c r="A3" s="8" t="inlineStr">
        <is>
          <t>Fargekodar:  blå tal på gul botn = input (skal fyllast inn)   ·   svart = formel   ·   grøn = lenkje frå anna ark.   Alle kronebeløp er positive (inntekt og kostnad).</t>
        </is>
      </c>
    </row>
    <row r="5">
      <c r="A5" s="17" t="inlineStr">
        <is>
          <t>Post</t>
        </is>
      </c>
      <c r="B5" s="17" t="inlineStr">
        <is>
          <t>Kjelde / Tripletex-konto</t>
        </is>
      </c>
      <c r="C5" s="17" t="inlineStr">
        <is>
          <t>Verdi</t>
        </is>
      </c>
      <c r="D5" s="17" t="inlineStr">
        <is>
          <t>Eining</t>
        </is>
      </c>
      <c r="E5" s="17" t="inlineStr">
        <is>
          <t>Formel forklart (korleis outputen blir rekna)</t>
        </is>
      </c>
      <c r="F5" s="17" t="inlineStr">
        <is>
          <t>Excel-formel</t>
        </is>
      </c>
    </row>
    <row r="6">
      <c r="A6" s="18" t="inlineStr">
        <is>
          <t>1. INPUT – Produksjonsdata (frå produksjonstabell / teljingar)</t>
        </is>
      </c>
      <c r="B6" s="19" t="n"/>
      <c r="C6" s="19" t="n"/>
      <c r="D6" s="19" t="n"/>
      <c r="E6" s="19" t="n"/>
      <c r="F6" s="19" t="n"/>
    </row>
    <row r="7">
      <c r="A7" s="20" t="inlineStr">
        <is>
          <t>Tal produserte oksar</t>
        </is>
      </c>
      <c r="B7" s="24" t="inlineStr">
        <is>
          <t>Produksjonstabell (EnhetAntall)</t>
        </is>
      </c>
      <c r="C7" s="31" t="n">
        <v>12</v>
      </c>
      <c r="D7" s="12" t="inlineStr">
        <is>
          <t>stk</t>
        </is>
      </c>
      <c r="E7" s="24" t="inlineStr">
        <is>
          <t>Input. Hentast frå: Produksjonstabell (EnhetAntall).</t>
        </is>
      </c>
      <c r="F7" s="32" t="n"/>
    </row>
    <row r="8">
      <c r="A8" s="20" t="inlineStr">
        <is>
          <t>Kg slakt</t>
        </is>
      </c>
      <c r="B8" s="24" t="inlineStr">
        <is>
          <t>Mengde 2 på konto 3041 (.516/.517/.518)</t>
        </is>
      </c>
      <c r="C8" s="31" t="n">
        <v>3960</v>
      </c>
      <c r="D8" s="12" t="inlineStr">
        <is>
          <t>kg</t>
        </is>
      </c>
      <c r="E8" s="24" t="inlineStr">
        <is>
          <t>Input. Hentast frå: Mengde 2 på konto 3041 (.516/.517/.518).</t>
        </is>
      </c>
      <c r="F8" s="32" t="n"/>
    </row>
    <row r="9">
      <c r="A9" s="20" t="inlineStr">
        <is>
          <t>Tal slakta oksar</t>
        </is>
      </c>
      <c r="B9" s="24" t="inlineStr">
        <is>
          <t>Mengde 1 på konto 3041</t>
        </is>
      </c>
      <c r="C9" s="31" t="n">
        <v>12</v>
      </c>
      <c r="D9" s="12" t="inlineStr">
        <is>
          <t>stk</t>
        </is>
      </c>
      <c r="E9" s="24" t="inlineStr">
        <is>
          <t>Input. Hentast frå: Mengde 1 på konto 3041.</t>
        </is>
      </c>
      <c r="F9" s="32" t="n"/>
    </row>
    <row r="10">
      <c r="A10" s="20" t="inlineStr">
        <is>
          <t>Tal storfe selt til liv</t>
        </is>
      </c>
      <c r="B10" s="24" t="inlineStr">
        <is>
          <t>Mengde 1 på konto 3051</t>
        </is>
      </c>
      <c r="C10" s="31" t="n">
        <v>0</v>
      </c>
      <c r="D10" s="12" t="inlineStr">
        <is>
          <t>stk</t>
        </is>
      </c>
      <c r="E10" s="24" t="inlineStr">
        <is>
          <t>Input. Hentast frå: Mengde 1 på konto 3051.</t>
        </is>
      </c>
      <c r="F10" s="32" t="n"/>
    </row>
    <row r="11">
      <c r="A11" s="20" t="inlineStr">
        <is>
          <t>Tal kjøpte kalvar</t>
        </is>
      </c>
      <c r="B11" s="24" t="inlineStr">
        <is>
          <t>Mengde 1 på konto 4610</t>
        </is>
      </c>
      <c r="C11" s="31" t="n">
        <v>10</v>
      </c>
      <c r="D11" s="12" t="inlineStr">
        <is>
          <t>stk</t>
        </is>
      </c>
      <c r="E11" s="24" t="inlineStr">
        <is>
          <t>Input. Hentast frå: Mengde 1 på konto 4610.</t>
        </is>
      </c>
      <c r="F11" s="32" t="n"/>
    </row>
    <row r="12">
      <c r="A12" s="20" t="inlineStr">
        <is>
          <t>Oksar over 12 md pr 1.1.</t>
        </is>
      </c>
      <c r="B12" s="24" t="inlineStr">
        <is>
          <t>1451.20.516 (IB)</t>
        </is>
      </c>
      <c r="C12" s="31" t="n">
        <v>6</v>
      </c>
      <c r="D12" s="12" t="inlineStr">
        <is>
          <t>stk</t>
        </is>
      </c>
      <c r="E12" s="24" t="inlineStr">
        <is>
          <t>Input. Hentast frå: 1451.20.516 (IB).</t>
        </is>
      </c>
      <c r="F12" s="32" t="n"/>
    </row>
    <row r="13">
      <c r="A13" s="20" t="inlineStr">
        <is>
          <t>Oksar over 12 md pr 31.12.</t>
        </is>
      </c>
      <c r="B13" s="24" t="inlineStr">
        <is>
          <t>1451.20.516 (UB)</t>
        </is>
      </c>
      <c r="C13" s="31" t="n">
        <v>7</v>
      </c>
      <c r="D13" s="12" t="inlineStr">
        <is>
          <t>stk</t>
        </is>
      </c>
      <c r="E13" s="24" t="inlineStr">
        <is>
          <t>Input. Hentast frå: 1451.20.516 (UB).</t>
        </is>
      </c>
      <c r="F13" s="32" t="n"/>
    </row>
    <row r="14">
      <c r="A14" s="20" t="inlineStr">
        <is>
          <t>Oksar/kalvar under 12 md pr 1.1.</t>
        </is>
      </c>
      <c r="B14" s="24" t="inlineStr">
        <is>
          <t>1451.20.517/518 (IB)</t>
        </is>
      </c>
      <c r="C14" s="31" t="n">
        <v>6</v>
      </c>
      <c r="D14" s="12" t="inlineStr">
        <is>
          <t>stk</t>
        </is>
      </c>
      <c r="E14" s="24" t="inlineStr">
        <is>
          <t>Input. Hentast frå: 1451.20.517/518 (IB).</t>
        </is>
      </c>
      <c r="F14" s="32" t="n"/>
    </row>
    <row r="15">
      <c r="A15" s="20" t="inlineStr">
        <is>
          <t>Oksar/kalvar under 12 md pr 31.12.</t>
        </is>
      </c>
      <c r="B15" s="24" t="inlineStr">
        <is>
          <t>1451.20.517/518 (UB)</t>
        </is>
      </c>
      <c r="C15" s="31" t="n">
        <v>6</v>
      </c>
      <c r="D15" s="12" t="inlineStr">
        <is>
          <t>stk</t>
        </is>
      </c>
      <c r="E15" s="24" t="inlineStr">
        <is>
          <t>Input. Hentast frå: 1451.20.517/518 (UB).</t>
        </is>
      </c>
      <c r="F15" s="32" t="n"/>
    </row>
    <row r="16">
      <c r="A16" s="20" t="inlineStr">
        <is>
          <t>Fôrnorm beite (FEm)</t>
        </is>
      </c>
      <c r="B16" s="24" t="inlineStr">
        <is>
          <t>Fôrnorm pr okse og år (jf. marginalanalysen). Brukt til arealbehov og fordelingsnøklar</t>
        </is>
      </c>
      <c r="C16" s="31" t="n">
        <v>0</v>
      </c>
      <c r="D16" s="12" t="inlineStr">
        <is>
          <t>FEm</t>
        </is>
      </c>
      <c r="E16" s="24" t="inlineStr">
        <is>
          <t>Input. Hentast frå: Fôrnorm pr okse og år (jf. marginalanalysen). Brukt til arealbehov og fordelingsnøklar.</t>
        </is>
      </c>
      <c r="F16" s="32" t="n"/>
    </row>
    <row r="17">
      <c r="A17" s="20" t="inlineStr">
        <is>
          <t>Fôrnorm eige grovfôr vinter (FEm)</t>
        </is>
      </c>
      <c r="B17" s="24" t="inlineStr">
        <is>
          <t>Fôrnorm pr okse og år (jf. marginalanalysen). Brukt til arealbehov og fordelingsnøklar</t>
        </is>
      </c>
      <c r="C17" s="31" t="n">
        <v>1630</v>
      </c>
      <c r="D17" s="12" t="inlineStr">
        <is>
          <t>FEm</t>
        </is>
      </c>
      <c r="E17" s="24" t="inlineStr">
        <is>
          <t>Input. Hentast frå: Fôrnorm pr okse og år (jf. marginalanalysen). Brukt til arealbehov og fordelingsnøklar.</t>
        </is>
      </c>
      <c r="F17" s="32" t="n"/>
    </row>
    <row r="18">
      <c r="A18" s="20" t="inlineStr">
        <is>
          <t>Fôrnorm kraftfôr (FEm)</t>
        </is>
      </c>
      <c r="B18" s="24" t="inlineStr">
        <is>
          <t>Fôrnorm pr okse og år (jf. marginalanalysen). Brukt til arealbehov og fordelingsnøklar</t>
        </is>
      </c>
      <c r="C18" s="31" t="n">
        <v>1140</v>
      </c>
      <c r="D18" s="12" t="inlineStr">
        <is>
          <t>FEm</t>
        </is>
      </c>
      <c r="E18" s="24" t="inlineStr">
        <is>
          <t>Input. Hentast frå: Fôrnorm pr okse og år (jf. marginalanalysen). Brukt til arealbehov og fordelingsnøklar.</t>
        </is>
      </c>
      <c r="F18" s="32" t="n"/>
    </row>
    <row r="19">
      <c r="A19" s="18" t="inlineStr">
        <is>
          <t>2. INPUT – Rekneskapstal (kr) frå saldobalansen etter korrigeringar</t>
        </is>
      </c>
      <c r="B19" s="19" t="n"/>
      <c r="C19" s="19" t="n"/>
      <c r="D19" s="19" t="n"/>
      <c r="E19" s="19" t="n"/>
      <c r="F19" s="19" t="n"/>
    </row>
    <row r="20">
      <c r="A20" s="20" t="inlineStr">
        <is>
          <t>Produksjonstilskot fordelt på produksjonen</t>
        </is>
      </c>
      <c r="B20" s="24" t="inlineStr">
        <is>
          <t>34xx (ikkje 344x avløysartilskot)</t>
        </is>
      </c>
      <c r="C20" s="31" t="n">
        <v>95000</v>
      </c>
      <c r="D20" s="12" t="inlineStr">
        <is>
          <t>kr</t>
        </is>
      </c>
      <c r="E20" s="24" t="inlineStr">
        <is>
          <t>Input. Hentast frå: 34xx (ikkje 344x avløysartilskot).</t>
        </is>
      </c>
      <c r="F20" s="32" t="n"/>
    </row>
    <row r="21">
      <c r="A21" s="20" t="inlineStr">
        <is>
          <t>Slakt</t>
        </is>
      </c>
      <c r="B21" s="24" t="inlineStr">
        <is>
          <t>3040-3049, 3162, 3172, 3078</t>
        </is>
      </c>
      <c r="C21" s="31" t="n">
        <v>290000</v>
      </c>
      <c r="D21" s="12" t="inlineStr">
        <is>
          <t>kr</t>
        </is>
      </c>
      <c r="E21" s="24" t="inlineStr">
        <is>
          <t>Input. Hentast frå: 3040-3049, 3162, 3172, 3078.</t>
        </is>
      </c>
      <c r="F21" s="32" t="n"/>
    </row>
    <row r="22">
      <c r="A22" s="20" t="inlineStr">
        <is>
          <t>Livdyrsal</t>
        </is>
      </c>
      <c r="B22" s="24" t="inlineStr">
        <is>
          <t>3050-3059</t>
        </is>
      </c>
      <c r="C22" s="31" t="n">
        <v>0</v>
      </c>
      <c r="D22" s="12" t="inlineStr">
        <is>
          <t>kr</t>
        </is>
      </c>
      <c r="E22" s="24" t="inlineStr">
        <is>
          <t>Input. Hentast frå: 3050-3059.</t>
        </is>
      </c>
      <c r="F22" s="32" t="n"/>
    </row>
    <row r="23">
      <c r="A23" s="20" t="inlineStr">
        <is>
          <t>Buskap, beholdningsendring (+ = auke)</t>
        </is>
      </c>
      <c r="B23" s="24" t="inlineStr">
        <is>
          <t>4690-4698 (forteikn snudd)</t>
        </is>
      </c>
      <c r="C23" s="31" t="n">
        <v>12000</v>
      </c>
      <c r="D23" s="12" t="inlineStr">
        <is>
          <t>kr</t>
        </is>
      </c>
      <c r="E23" s="24" t="inlineStr">
        <is>
          <t>Input. Hentast frå: 4690-4698 (forteikn snudd).</t>
        </is>
      </c>
      <c r="F23" s="32" t="n"/>
    </row>
    <row r="24">
      <c r="A24" s="20" t="inlineStr">
        <is>
          <t>Andre inntekter</t>
        </is>
      </c>
      <c r="B24" s="24" t="inlineStr">
        <is>
          <t>andre 3xxx kopla til produksjonen</t>
        </is>
      </c>
      <c r="C24" s="31" t="n">
        <v>0</v>
      </c>
      <c r="D24" s="12" t="inlineStr">
        <is>
          <t>kr</t>
        </is>
      </c>
      <c r="E24" s="24" t="inlineStr">
        <is>
          <t>Input. Hentast frå: andre 3xxx kopla til produksjonen.</t>
        </is>
      </c>
      <c r="F24" s="32" t="n"/>
    </row>
    <row r="25">
      <c r="A25" s="20" t="inlineStr">
        <is>
          <t>Herav distriktstilskot kjøt</t>
        </is>
      </c>
      <c r="B25" s="24" t="inlineStr">
        <is>
          <t>3047 Slakt, distriktstilskot (del av slakteinntekta)</t>
        </is>
      </c>
      <c r="C25" s="31" t="n">
        <v>20790</v>
      </c>
      <c r="D25" s="12" t="inlineStr">
        <is>
          <t>kr</t>
        </is>
      </c>
      <c r="E25" s="24" t="inlineStr">
        <is>
          <t>Input. Hentast frå: 3047 Slakt, distriktstilskot (del av slakteinntekta). Er med i beløpet over, brukt berre til prisutrekning.</t>
        </is>
      </c>
      <c r="F25" s="32" t="n"/>
    </row>
    <row r="26">
      <c r="A26" s="18" t="inlineStr">
        <is>
          <t>Variable kostnader – eigen grovfôrproduksjon</t>
        </is>
      </c>
      <c r="B26" s="19" t="n"/>
      <c r="C26" s="19" t="n"/>
      <c r="D26" s="19" t="n"/>
      <c r="E26" s="19" t="n"/>
      <c r="F26" s="19" t="n"/>
    </row>
    <row r="27">
      <c r="A27" s="20" t="inlineStr">
        <is>
          <t>Såfrø / grasfrø</t>
        </is>
      </c>
      <c r="B27" s="24" t="inlineStr">
        <is>
          <t>4001</t>
        </is>
      </c>
      <c r="C27" s="31" t="n">
        <v>3000</v>
      </c>
      <c r="D27" s="12" t="inlineStr">
        <is>
          <t>kr</t>
        </is>
      </c>
      <c r="E27" s="24" t="inlineStr">
        <is>
          <t>Input. Hentast frå: 4001.</t>
        </is>
      </c>
      <c r="F27" s="32" t="n"/>
    </row>
    <row r="28">
      <c r="A28" s="20" t="inlineStr">
        <is>
          <t>Plantevernmiddel</t>
        </is>
      </c>
      <c r="B28" s="24" t="inlineStr">
        <is>
          <t>4110, 4191</t>
        </is>
      </c>
      <c r="C28" s="31" t="n">
        <v>1000</v>
      </c>
      <c r="D28" s="12" t="inlineStr">
        <is>
          <t>kr</t>
        </is>
      </c>
      <c r="E28" s="24" t="inlineStr">
        <is>
          <t>Input. Hentast frå: 4110, 4191.</t>
        </is>
      </c>
      <c r="F28" s="32" t="n"/>
    </row>
    <row r="29">
      <c r="A29" s="20" t="inlineStr">
        <is>
          <t>Rundballeplast mm.</t>
        </is>
      </c>
      <c r="B29" s="24" t="inlineStr">
        <is>
          <t>4140, 4194</t>
        </is>
      </c>
      <c r="C29" s="31" t="n">
        <v>6000</v>
      </c>
      <c r="D29" s="12" t="inlineStr">
        <is>
          <t>kr</t>
        </is>
      </c>
      <c r="E29" s="24" t="inlineStr">
        <is>
          <t>Input. Hentast frå: 4140, 4194.</t>
        </is>
      </c>
      <c r="F29" s="32" t="n"/>
    </row>
    <row r="30">
      <c r="A30" s="20" t="inlineStr">
        <is>
          <t>Handelsgjødsel</t>
        </is>
      </c>
      <c r="B30" s="24" t="inlineStr">
        <is>
          <t>4050, 4095</t>
        </is>
      </c>
      <c r="C30" s="31" t="n">
        <v>15000</v>
      </c>
      <c r="D30" s="12" t="inlineStr">
        <is>
          <t>kr</t>
        </is>
      </c>
      <c r="E30" s="24" t="inlineStr">
        <is>
          <t>Input. Hentast frå: 4050, 4095.</t>
        </is>
      </c>
      <c r="F30" s="32" t="n"/>
    </row>
    <row r="31">
      <c r="A31" s="20" t="inlineStr">
        <is>
          <t>Kalk</t>
        </is>
      </c>
      <c r="B31" s="24" t="inlineStr">
        <is>
          <t>4057</t>
        </is>
      </c>
      <c r="C31" s="31" t="n">
        <v>2000</v>
      </c>
      <c r="D31" s="12" t="inlineStr">
        <is>
          <t>kr</t>
        </is>
      </c>
      <c r="E31" s="24" t="inlineStr">
        <is>
          <t>Input. Hentast frå: 4057.</t>
        </is>
      </c>
      <c r="F31" s="32" t="n"/>
    </row>
    <row r="32">
      <c r="A32" s="20" t="inlineStr">
        <is>
          <t>Konserveringsmiddel</t>
        </is>
      </c>
      <c r="B32" s="24" t="inlineStr">
        <is>
          <t>4080, 4098</t>
        </is>
      </c>
      <c r="C32" s="31" t="n">
        <v>2500</v>
      </c>
      <c r="D32" s="12" t="inlineStr">
        <is>
          <t>kr</t>
        </is>
      </c>
      <c r="E32" s="24" t="inlineStr">
        <is>
          <t>Input. Hentast frå: 4080, 4098.</t>
        </is>
      </c>
      <c r="F32" s="32" t="n"/>
    </row>
    <row r="33">
      <c r="A33" s="20" t="inlineStr">
        <is>
          <t>Endring anna varelager (variable kostn.)</t>
        </is>
      </c>
      <c r="B33" s="24" t="inlineStr">
        <is>
          <t>4090</t>
        </is>
      </c>
      <c r="C33" s="31" t="n">
        <v>0</v>
      </c>
      <c r="D33" s="12" t="inlineStr">
        <is>
          <t>kr</t>
        </is>
      </c>
      <c r="E33" s="24" t="inlineStr">
        <is>
          <t>Input. Hentast frå: 4090.</t>
        </is>
      </c>
      <c r="F33" s="32" t="n"/>
    </row>
    <row r="34">
      <c r="A34" s="20" t="inlineStr">
        <is>
          <t>Endring eigenprodusert grovfôr (+ = nedgang i lager)</t>
        </is>
      </c>
      <c r="B34" s="24" t="inlineStr">
        <is>
          <t>4297</t>
        </is>
      </c>
      <c r="C34" s="31" t="n">
        <v>-2000</v>
      </c>
      <c r="D34" s="12" t="inlineStr">
        <is>
          <t>kr</t>
        </is>
      </c>
      <c r="E34" s="24" t="inlineStr">
        <is>
          <t>Input. Hentast frå: 4297.</t>
        </is>
      </c>
      <c r="F34" s="32" t="n"/>
    </row>
    <row r="35">
      <c r="A35" s="18" t="inlineStr">
        <is>
          <t>Variable kostnader – anna</t>
        </is>
      </c>
      <c r="B35" s="19" t="n"/>
      <c r="C35" s="19" t="n"/>
      <c r="D35" s="19" t="n"/>
      <c r="E35" s="19" t="n"/>
      <c r="F35" s="19" t="n"/>
    </row>
    <row r="36">
      <c r="A36" s="20" t="inlineStr">
        <is>
          <t>Kjøp grovfôr</t>
        </is>
      </c>
      <c r="B36" s="24" t="inlineStr">
        <is>
          <t>4030</t>
        </is>
      </c>
      <c r="C36" s="31" t="n">
        <v>0</v>
      </c>
      <c r="D36" s="12" t="inlineStr">
        <is>
          <t>kr</t>
        </is>
      </c>
      <c r="E36" s="24" t="inlineStr">
        <is>
          <t>Input. Hentast frå: 4030.</t>
        </is>
      </c>
      <c r="F36" s="32" t="n"/>
    </row>
    <row r="37">
      <c r="A37" s="20" t="inlineStr">
        <is>
          <t>Beiteleige / dyr på beite</t>
        </is>
      </c>
      <c r="B37" s="24" t="inlineStr">
        <is>
          <t>4031</t>
        </is>
      </c>
      <c r="C37" s="31" t="n">
        <v>0</v>
      </c>
      <c r="D37" s="12" t="inlineStr">
        <is>
          <t>kr</t>
        </is>
      </c>
      <c r="E37" s="24" t="inlineStr">
        <is>
          <t>Input. Hentast frå: 4031.</t>
        </is>
      </c>
      <c r="F37" s="32" t="n"/>
    </row>
    <row r="38">
      <c r="A38" s="20" t="inlineStr">
        <is>
          <t>Endring innkjøpt grovfôrlager</t>
        </is>
      </c>
      <c r="B38" s="24" t="inlineStr">
        <is>
          <t>4093</t>
        </is>
      </c>
      <c r="C38" s="31" t="n">
        <v>0</v>
      </c>
      <c r="D38" s="12" t="inlineStr">
        <is>
          <t>kr</t>
        </is>
      </c>
      <c r="E38" s="24" t="inlineStr">
        <is>
          <t>Input. Hentast frå: 4093.</t>
        </is>
      </c>
      <c r="F38" s="32" t="n"/>
    </row>
    <row r="39">
      <c r="A39" s="20" t="inlineStr">
        <is>
          <t>Kraftfôr mm.</t>
        </is>
      </c>
      <c r="B39" s="24" t="inlineStr">
        <is>
          <t>4020-4029, 4040-4049, 4092, 4094</t>
        </is>
      </c>
      <c r="C39" s="31" t="n">
        <v>60000</v>
      </c>
      <c r="D39" s="12" t="inlineStr">
        <is>
          <t>kr</t>
        </is>
      </c>
      <c r="E39" s="24" t="inlineStr">
        <is>
          <t>Input. Hentast frå: 4020-4029, 4040-4049, 4092, 4094.</t>
        </is>
      </c>
      <c r="F39" s="32" t="n"/>
    </row>
    <row r="40">
      <c r="A40" s="20" t="inlineStr">
        <is>
          <t>Veterinær, medisin, semin mm.</t>
        </is>
      </c>
      <c r="B40" s="24" t="inlineStr">
        <is>
          <t>4120, 4192, 4520-4529</t>
        </is>
      </c>
      <c r="C40" s="31" t="n">
        <v>8000</v>
      </c>
      <c r="D40" s="12" t="inlineStr">
        <is>
          <t>kr</t>
        </is>
      </c>
      <c r="E40" s="24" t="inlineStr">
        <is>
          <t>Input. Hentast frå: 4120, 4192, 4520-4529.</t>
        </is>
      </c>
      <c r="F40" s="32" t="n"/>
    </row>
    <row r="41">
      <c r="A41" s="20" t="inlineStr">
        <is>
          <t>Innkjøp dyr</t>
        </is>
      </c>
      <c r="B41" s="24" t="inlineStr">
        <is>
          <t>4600-4689</t>
        </is>
      </c>
      <c r="C41" s="31" t="n">
        <v>70000</v>
      </c>
      <c r="D41" s="12" t="inlineStr">
        <is>
          <t>kr</t>
        </is>
      </c>
      <c r="E41" s="24" t="inlineStr">
        <is>
          <t>Input. Hentast frå: 4600-4689.</t>
        </is>
      </c>
      <c r="F41" s="32" t="n"/>
    </row>
    <row r="42">
      <c r="A42" s="20" t="inlineStr">
        <is>
          <t>Andre variable kostnader</t>
        </is>
      </c>
      <c r="B42" s="24" t="inlineStr">
        <is>
          <t>4130-4139, 4193, 4530-4549, 4560-4569 + andre 4xxx</t>
        </is>
      </c>
      <c r="C42" s="31" t="n">
        <v>12000</v>
      </c>
      <c r="D42" s="12" t="inlineStr">
        <is>
          <t>kr</t>
        </is>
      </c>
      <c r="E42" s="24" t="inlineStr">
        <is>
          <t>Input. Hentast frå: 4130-4139, 4193, 4530-4549, 4560-4569 + andre 4xxx.</t>
        </is>
      </c>
      <c r="F42" s="32" t="n"/>
    </row>
    <row r="43">
      <c r="A43" s="18" t="inlineStr">
        <is>
          <t>3. INPUT – Fordelte faste kostnader (lenka frå arket «Faste kostnader»)</t>
        </is>
      </c>
      <c r="B43" s="19" t="n"/>
      <c r="C43" s="19" t="n"/>
      <c r="D43" s="19" t="n"/>
      <c r="E43" s="19" t="n"/>
      <c r="F43" s="19" t="n"/>
    </row>
    <row r="44">
      <c r="A44" s="20" t="inlineStr">
        <is>
          <t>Maskinkostnader fordelt</t>
        </is>
      </c>
      <c r="B44" s="21" t="inlineStr">
        <is>
          <t>Lenkje frå anna ark</t>
        </is>
      </c>
      <c r="C44" s="13">
        <f>'Faste kostnader'!C47</f>
        <v/>
      </c>
      <c r="D44" s="12" t="inlineStr">
        <is>
          <t>kr</t>
        </is>
      </c>
      <c r="E44" s="23" t="inlineStr">
        <is>
          <t>Maskinkostnader fordelt = Maskinkostnader – Oksar [Faste kostnader!C47]</t>
        </is>
      </c>
      <c r="F44" s="24" t="inlineStr">
        <is>
          <t>='Faste kostnader'!C47</t>
        </is>
      </c>
    </row>
    <row r="45">
      <c r="A45" s="20" t="inlineStr">
        <is>
          <t>Innandørsmekanisering fordelt</t>
        </is>
      </c>
      <c r="B45" s="21" t="inlineStr">
        <is>
          <t>Lenkje frå anna ark</t>
        </is>
      </c>
      <c r="C45" s="13">
        <f>'Faste kostnader'!C78</f>
        <v/>
      </c>
      <c r="D45" s="12" t="inlineStr">
        <is>
          <t>kr</t>
        </is>
      </c>
      <c r="E45" s="23" t="inlineStr">
        <is>
          <t>Innandørsmekanisering fordelt = Innandørsmekanisering – Oksar [Faste kostnader!C78]</t>
        </is>
      </c>
      <c r="F45" s="24" t="inlineStr">
        <is>
          <t>='Faste kostnader'!C78</t>
        </is>
      </c>
    </row>
    <row r="46">
      <c r="A46" s="18" t="inlineStr">
        <is>
          <t>4. UTREKNING – Totalt for produksjonen</t>
        </is>
      </c>
      <c r="B46" s="19" t="n"/>
      <c r="C46" s="19" t="n"/>
      <c r="D46" s="19" t="n"/>
      <c r="E46" s="19" t="n"/>
      <c r="F46" s="19" t="n"/>
    </row>
    <row r="47">
      <c r="A47" s="20" t="inlineStr">
        <is>
          <t>Produksjonsinntekter i alt</t>
        </is>
      </c>
      <c r="B47" s="21" t="inlineStr">
        <is>
          <t>Utrekna</t>
        </is>
      </c>
      <c r="C47" s="22">
        <f>C21+C22+C23+C24</f>
        <v/>
      </c>
      <c r="D47" s="12" t="inlineStr">
        <is>
          <t>kr</t>
        </is>
      </c>
      <c r="E47" s="23" t="inlineStr">
        <is>
          <t>Produksjonsinntekter i alt = Slakt [C21] + Livdyrsal [C22] + Buskap, beholdningsendring (+ = auke) [C23] + Andre inntekter [C24]</t>
        </is>
      </c>
      <c r="F47" s="24" t="inlineStr">
        <is>
          <t>=C21+C22+C23+C24</t>
        </is>
      </c>
    </row>
    <row r="48">
      <c r="A48" s="20" t="inlineStr">
        <is>
          <t>Eigen grovfôr – sum variable kostnader</t>
        </is>
      </c>
      <c r="B48" s="21" t="inlineStr">
        <is>
          <t>Utrekna</t>
        </is>
      </c>
      <c r="C48" s="22">
        <f>C27+C28+C29+C30+C31+C32+C33+C34</f>
        <v/>
      </c>
      <c r="D48" s="12" t="inlineStr">
        <is>
          <t>kr</t>
        </is>
      </c>
      <c r="E48" s="23" t="inlineStr">
        <is>
          <t>Eigen grovfôr – sum variable kostnader = Såfrø / grasfrø [C27] + Plantevernmiddel [C28] + Rundballeplast mm. [C29] + Handelsgjødsel [C30] + Kalk [C31] + Konserveringsmiddel [C32] + Endring anna varelager (variable kostn.) [C33] + Endring eigenprodusert grovfôr (+ = nedgang i lager) [C34]</t>
        </is>
      </c>
      <c r="F48" s="24" t="inlineStr">
        <is>
          <t>=C27+C28+C29+C30+C31+C32+C33+C34</t>
        </is>
      </c>
    </row>
    <row r="49">
      <c r="A49" s="20" t="inlineStr">
        <is>
          <t>Variabel grovfôrkostnad (utan plast og lagerendring eigenprodusert)</t>
        </is>
      </c>
      <c r="B49" s="21" t="inlineStr">
        <is>
          <t>Utrekna</t>
        </is>
      </c>
      <c r="C49" s="22">
        <f>C27+C28+C30+C31+C32+C33</f>
        <v/>
      </c>
      <c r="D49" s="12" t="inlineStr">
        <is>
          <t>kr</t>
        </is>
      </c>
      <c r="E49" s="23" t="inlineStr">
        <is>
          <t>Variabel grovfôrkostnad (utan plast og lagerendring eigenprodusert) = Såfrø / grasfrø [C27] + Plantevernmiddel [C28] + Handelsgjødsel [C30] + Kalk [C31] + Konserveringsmiddel [C32] + Endring anna varelager (variable kostn.) [C33]   (Brukt i «Variabel grovfôrkostnad pr dekar» – same utval som eksempelanalysen)</t>
        </is>
      </c>
      <c r="F49" s="24" t="inlineStr">
        <is>
          <t>=C27+C28+C30+C31+C32+C33</t>
        </is>
      </c>
    </row>
    <row r="50">
      <c r="A50" s="20" t="inlineStr">
        <is>
          <t>Sum eigen grovfôrproduksjon (utan lagerendring)</t>
        </is>
      </c>
      <c r="B50" s="21" t="inlineStr">
        <is>
          <t>Utrekna</t>
        </is>
      </c>
      <c r="C50" s="22">
        <f>C48-C34</f>
        <v/>
      </c>
      <c r="D50" s="12" t="inlineStr">
        <is>
          <t>kr</t>
        </is>
      </c>
      <c r="E50" s="23" t="inlineStr">
        <is>
          <t>Sum eigen grovfôrproduksjon (utan lagerendring) = Eigen grovfôr – sum variable kostnader [C48] − Endring eigenprodusert grovfôr (+ = nedgang i lager) [C34]   (Brukt til å fordele grovfôrarealet mellom produksjonane)</t>
        </is>
      </c>
      <c r="F50" s="24" t="inlineStr">
        <is>
          <t>=C48-C34</t>
        </is>
      </c>
    </row>
    <row r="51">
      <c r="A51" s="20" t="inlineStr">
        <is>
          <t>Grovfôr – kostnad i alt</t>
        </is>
      </c>
      <c r="B51" s="21" t="inlineStr">
        <is>
          <t>Utrekna</t>
        </is>
      </c>
      <c r="C51" s="22">
        <f>C48+C36+C38</f>
        <v/>
      </c>
      <c r="D51" s="12" t="inlineStr">
        <is>
          <t>kr</t>
        </is>
      </c>
      <c r="E51" s="23" t="inlineStr">
        <is>
          <t>Grovfôr – kostnad i alt = Eigen grovfôr – sum variable kostnader [C48] + Kjøp grovfôr [C36] + Endring innkjøpt grovfôrlager [C38]</t>
        </is>
      </c>
      <c r="F51" s="24" t="inlineStr">
        <is>
          <t>=C48+C36+C38</t>
        </is>
      </c>
    </row>
    <row r="52">
      <c r="A52" s="20" t="inlineStr">
        <is>
          <t>Variable kostnader i alt</t>
        </is>
      </c>
      <c r="B52" s="21" t="inlineStr">
        <is>
          <t>Utrekna</t>
        </is>
      </c>
      <c r="C52" s="22">
        <f>C51+C37+C39+C40+C41+C42</f>
        <v/>
      </c>
      <c r="D52" s="12" t="inlineStr">
        <is>
          <t>kr</t>
        </is>
      </c>
      <c r="E52" s="23" t="inlineStr">
        <is>
          <t>Variable kostnader i alt = Grovfôr – kostnad i alt [C51] + Beiteleige / dyr på beite [C37] + Kraftfôr mm. [C39] + Veterinær, medisin, semin mm. [C40] + Innkjøp dyr [C41] + Andre variable kostnader [C42]</t>
        </is>
      </c>
      <c r="F52" s="24" t="inlineStr">
        <is>
          <t>=C51+C37+C39+C40+C41+C42</t>
        </is>
      </c>
    </row>
    <row r="53">
      <c r="A53" s="25" t="inlineStr">
        <is>
          <t>Dekningsbidrag (DB) utan tilskot</t>
        </is>
      </c>
      <c r="B53" s="26" t="inlineStr">
        <is>
          <t>Utrekna</t>
        </is>
      </c>
      <c r="C53" s="27">
        <f>C47-C52</f>
        <v/>
      </c>
      <c r="D53" s="28" t="inlineStr">
        <is>
          <t>kr</t>
        </is>
      </c>
      <c r="E53" s="29" t="inlineStr">
        <is>
          <t>Dekningsbidrag (DB) utan tilskot = Produksjonsinntekter i alt [C47] − Variable kostnader i alt [C52]</t>
        </is>
      </c>
      <c r="F53" s="30" t="inlineStr">
        <is>
          <t>=C47-C52</t>
        </is>
      </c>
    </row>
    <row r="54">
      <c r="A54" s="25" t="inlineStr">
        <is>
          <t>Dekningsbidrag (DB) med tilskot</t>
        </is>
      </c>
      <c r="B54" s="26" t="inlineStr">
        <is>
          <t>Utrekna</t>
        </is>
      </c>
      <c r="C54" s="27">
        <f>C53+C20</f>
        <v/>
      </c>
      <c r="D54" s="28" t="inlineStr">
        <is>
          <t>kr</t>
        </is>
      </c>
      <c r="E54" s="29" t="inlineStr">
        <is>
          <t>Dekningsbidrag (DB) med tilskot = Dekningsbidrag (DB) utan tilskot [C53] + Produksjonstilskot fordelt på produksjonen [C20]</t>
        </is>
      </c>
      <c r="F54" s="30" t="inlineStr">
        <is>
          <t>=C53+C20</t>
        </is>
      </c>
    </row>
    <row r="55">
      <c r="A55" s="20" t="inlineStr">
        <is>
          <t>DB m/tilskot etter maskin- og innandørskostnad</t>
        </is>
      </c>
      <c r="B55" s="21" t="inlineStr">
        <is>
          <t>Utrekna</t>
        </is>
      </c>
      <c r="C55" s="22">
        <f>C54-C44-C45</f>
        <v/>
      </c>
      <c r="D55" s="12" t="inlineStr">
        <is>
          <t>kr</t>
        </is>
      </c>
      <c r="E55" s="23" t="inlineStr">
        <is>
          <t>DB m/tilskot etter maskin- og innandørskostnad = Dekningsbidrag (DB) med tilskot [C54] − Maskinkostnader fordelt [C44] − Innandørsmekanisering fordelt [C45]</t>
        </is>
      </c>
      <c r="F55" s="24" t="inlineStr">
        <is>
          <t>=C54-C44-C45</t>
        </is>
      </c>
    </row>
    <row r="56">
      <c r="A56" s="20" t="inlineStr">
        <is>
          <t>«Kueiningar»</t>
        </is>
      </c>
      <c r="B56" s="21" t="inlineStr">
        <is>
          <t>Utrekna</t>
        </is>
      </c>
      <c r="C56" s="38">
        <f>((C14+C15)/8+(C12+C13)/4)/2</f>
        <v/>
      </c>
      <c r="D56" s="12" t="inlineStr">
        <is>
          <t>stk</t>
        </is>
      </c>
      <c r="E56" s="23" t="inlineStr">
        <is>
          <t>«Kueiningar» = ((Oksar/kalvar under 12 md pr 1.1. [C14] + Oksar/kalvar under 12 md pr 31.12. [C15]) / 8 + (Oksar over 12 md pr 1.1. [C12] + Oksar over 12 md pr 31.12. [C13]) / 4) / 2   (Vekting av dyretal (snitt 1.1. og 31.12.) – sjå formel)</t>
        </is>
      </c>
      <c r="F56" s="24" t="inlineStr">
        <is>
          <t>=((C14+C15)/8+(C12+C13)/4)/2</t>
        </is>
      </c>
    </row>
    <row r="57">
      <c r="A57" s="18" t="inlineStr">
        <is>
          <t>5. OUTPUT – Per eining (pr okse)</t>
        </is>
      </c>
      <c r="B57" s="19" t="n"/>
      <c r="C57" s="19" t="n"/>
      <c r="D57" s="19" t="n"/>
      <c r="E57" s="19" t="n"/>
      <c r="F57" s="19" t="n"/>
    </row>
    <row r="58">
      <c r="A58" s="18" t="inlineStr">
        <is>
          <t>Produksjonsinntekter pr okse</t>
        </is>
      </c>
      <c r="B58" s="19" t="n"/>
      <c r="C58" s="19" t="n"/>
      <c r="D58" s="19" t="n"/>
      <c r="E58" s="19" t="n"/>
      <c r="F58" s="19" t="n"/>
    </row>
    <row r="59">
      <c r="A59" s="20" t="inlineStr">
        <is>
          <t>Slakt</t>
        </is>
      </c>
      <c r="B59" s="21" t="inlineStr">
        <is>
          <t>Utrekna</t>
        </is>
      </c>
      <c r="C59" s="38">
        <f>IF((C7)=0,0,(C21)/(C7))</f>
        <v/>
      </c>
      <c r="D59" s="12" t="inlineStr">
        <is>
          <t>kr</t>
        </is>
      </c>
      <c r="E59" s="23" t="inlineStr">
        <is>
          <t>Slakt = Slakt [C21] ÷ Tal produserte oksar [C7]</t>
        </is>
      </c>
      <c r="F59" s="24" t="inlineStr">
        <is>
          <t>=IF((C7)=0,0,(C21)/(C7))</t>
        </is>
      </c>
    </row>
    <row r="60">
      <c r="A60" s="20" t="inlineStr">
        <is>
          <t>Livdyrsal</t>
        </is>
      </c>
      <c r="B60" s="21" t="inlineStr">
        <is>
          <t>Utrekna</t>
        </is>
      </c>
      <c r="C60" s="38">
        <f>IF((C7)=0,0,(C22)/(C7))</f>
        <v/>
      </c>
      <c r="D60" s="12" t="inlineStr">
        <is>
          <t>kr</t>
        </is>
      </c>
      <c r="E60" s="23" t="inlineStr">
        <is>
          <t>Livdyrsal = Livdyrsal [C22] ÷ Tal produserte oksar [C7]</t>
        </is>
      </c>
      <c r="F60" s="24" t="inlineStr">
        <is>
          <t>=IF((C7)=0,0,(C22)/(C7))</t>
        </is>
      </c>
    </row>
    <row r="61">
      <c r="A61" s="20" t="inlineStr">
        <is>
          <t>Buskap, beholdningsendring (+ = auke)</t>
        </is>
      </c>
      <c r="B61" s="21" t="inlineStr">
        <is>
          <t>Utrekna</t>
        </is>
      </c>
      <c r="C61" s="38">
        <f>IF((C7)=0,0,(C23)/(C7))</f>
        <v/>
      </c>
      <c r="D61" s="12" t="inlineStr">
        <is>
          <t>kr</t>
        </is>
      </c>
      <c r="E61" s="23" t="inlineStr">
        <is>
          <t>Buskap, beholdningsendring (+ = auke) = Buskap, beholdningsendring (+ = auke) [C23] ÷ Tal produserte oksar [C7]</t>
        </is>
      </c>
      <c r="F61" s="24" t="inlineStr">
        <is>
          <t>=IF((C7)=0,0,(C23)/(C7))</t>
        </is>
      </c>
    </row>
    <row r="62">
      <c r="A62" s="20" t="inlineStr">
        <is>
          <t>Andre inntekter</t>
        </is>
      </c>
      <c r="B62" s="21" t="inlineStr">
        <is>
          <t>Utrekna</t>
        </is>
      </c>
      <c r="C62" s="38">
        <f>IF((C7)=0,0,(C24)/(C7))</f>
        <v/>
      </c>
      <c r="D62" s="12" t="inlineStr">
        <is>
          <t>kr</t>
        </is>
      </c>
      <c r="E62" s="23" t="inlineStr">
        <is>
          <t>Andre inntekter = Andre inntekter [C24] ÷ Tal produserte oksar [C7]</t>
        </is>
      </c>
      <c r="F62" s="24" t="inlineStr">
        <is>
          <t>=IF((C7)=0,0,(C24)/(C7))</t>
        </is>
      </c>
    </row>
    <row r="63">
      <c r="A63" s="20" t="inlineStr">
        <is>
          <t>Produksjonsinntekter i alt</t>
        </is>
      </c>
      <c r="B63" s="21" t="inlineStr">
        <is>
          <t>Utrekna</t>
        </is>
      </c>
      <c r="C63" s="38">
        <f>IF((C7)=0,0,(C47)/(C7))</f>
        <v/>
      </c>
      <c r="D63" s="12" t="inlineStr">
        <is>
          <t>kr</t>
        </is>
      </c>
      <c r="E63" s="23" t="inlineStr">
        <is>
          <t>Produksjonsinntekter i alt = Produksjonsinntekter i alt [C47] ÷ Tal produserte oksar [C7]</t>
        </is>
      </c>
      <c r="F63" s="24" t="inlineStr">
        <is>
          <t>=IF((C7)=0,0,(C47)/(C7))</t>
        </is>
      </c>
    </row>
    <row r="64">
      <c r="A64" s="18" t="inlineStr">
        <is>
          <t>Variable kostnader pr okse</t>
        </is>
      </c>
      <c r="B64" s="19" t="n"/>
      <c r="C64" s="19" t="n"/>
      <c r="D64" s="19" t="n"/>
      <c r="E64" s="19" t="n"/>
      <c r="F64" s="19" t="n"/>
    </row>
    <row r="65">
      <c r="A65" s="20" t="inlineStr">
        <is>
          <t>Eigen grovfôrproduksjon</t>
        </is>
      </c>
      <c r="B65" s="21" t="inlineStr">
        <is>
          <t>Utrekna</t>
        </is>
      </c>
      <c r="C65" s="38">
        <f>IF((C7)=0,0,(C50)/(C7))</f>
        <v/>
      </c>
      <c r="D65" s="12" t="inlineStr">
        <is>
          <t>kr</t>
        </is>
      </c>
      <c r="E65" s="23" t="inlineStr">
        <is>
          <t>Eigen grovfôrproduksjon = Sum eigen grovfôrproduksjon (utan lagerendring) [C50] ÷ Tal produserte oksar [C7]</t>
        </is>
      </c>
      <c r="F65" s="24" t="inlineStr">
        <is>
          <t>=IF((C7)=0,0,(C50)/(C7))</t>
        </is>
      </c>
    </row>
    <row r="66">
      <c r="A66" s="20" t="inlineStr">
        <is>
          <t>Kjøpt grovfôr</t>
        </is>
      </c>
      <c r="B66" s="21" t="inlineStr">
        <is>
          <t>Utrekna</t>
        </is>
      </c>
      <c r="C66" s="38">
        <f>IF((C7)=0,0,(C36)/(C7))</f>
        <v/>
      </c>
      <c r="D66" s="12" t="inlineStr">
        <is>
          <t>kr</t>
        </is>
      </c>
      <c r="E66" s="23" t="inlineStr">
        <is>
          <t>Kjøpt grovfôr = Kjøp grovfôr [C36] ÷ Tal produserte oksar [C7]</t>
        </is>
      </c>
      <c r="F66" s="24" t="inlineStr">
        <is>
          <t>=IF((C7)=0,0,(C36)/(C7))</t>
        </is>
      </c>
    </row>
    <row r="67">
      <c r="A67" s="20" t="inlineStr">
        <is>
          <t>Varelager endring grovfôr</t>
        </is>
      </c>
      <c r="B67" s="21" t="inlineStr">
        <is>
          <t>Utrekna</t>
        </is>
      </c>
      <c r="C67" s="38">
        <f>IF((C7)=0,0,(C34+C38)/(C7))</f>
        <v/>
      </c>
      <c r="D67" s="12" t="inlineStr">
        <is>
          <t>kr</t>
        </is>
      </c>
      <c r="E67" s="23" t="inlineStr">
        <is>
          <t>Varelager endring grovfôr = (Endring eigenprodusert grovfôr (+ = nedgang i lager) [C34] + Endring innkjøpt grovfôrlager [C38]) ÷ Tal produserte oksar [C7]</t>
        </is>
      </c>
      <c r="F67" s="24" t="inlineStr">
        <is>
          <t>=IF((C7)=0,0,(C34+C38)/(C7))</t>
        </is>
      </c>
    </row>
    <row r="68">
      <c r="A68" s="20" t="inlineStr">
        <is>
          <t>Beiteleige</t>
        </is>
      </c>
      <c r="B68" s="21" t="inlineStr">
        <is>
          <t>Utrekna</t>
        </is>
      </c>
      <c r="C68" s="38">
        <f>IF((C7)=0,0,(C37)/(C7))</f>
        <v/>
      </c>
      <c r="D68" s="12" t="inlineStr">
        <is>
          <t>kr</t>
        </is>
      </c>
      <c r="E68" s="23" t="inlineStr">
        <is>
          <t>Beiteleige = Beiteleige / dyr på beite [C37] ÷ Tal produserte oksar [C7]</t>
        </is>
      </c>
      <c r="F68" s="24" t="inlineStr">
        <is>
          <t>=IF((C7)=0,0,(C37)/(C7))</t>
        </is>
      </c>
    </row>
    <row r="69">
      <c r="A69" s="20" t="inlineStr">
        <is>
          <t>Kraftfôr mm.</t>
        </is>
      </c>
      <c r="B69" s="21" t="inlineStr">
        <is>
          <t>Utrekna</t>
        </is>
      </c>
      <c r="C69" s="38">
        <f>IF((C7)=0,0,(C39)/(C7))</f>
        <v/>
      </c>
      <c r="D69" s="12" t="inlineStr">
        <is>
          <t>kr</t>
        </is>
      </c>
      <c r="E69" s="23" t="inlineStr">
        <is>
          <t>Kraftfôr mm. = Kraftfôr mm. [C39] ÷ Tal produserte oksar [C7]</t>
        </is>
      </c>
      <c r="F69" s="24" t="inlineStr">
        <is>
          <t>=IF((C7)=0,0,(C39)/(C7))</t>
        </is>
      </c>
    </row>
    <row r="70">
      <c r="A70" s="20" t="inlineStr">
        <is>
          <t>Veterinær, medisin, semin mm.</t>
        </is>
      </c>
      <c r="B70" s="21" t="inlineStr">
        <is>
          <t>Utrekna</t>
        </is>
      </c>
      <c r="C70" s="38">
        <f>IF((C7)=0,0,(C40)/(C7))</f>
        <v/>
      </c>
      <c r="D70" s="12" t="inlineStr">
        <is>
          <t>kr</t>
        </is>
      </c>
      <c r="E70" s="23" t="inlineStr">
        <is>
          <t>Veterinær, medisin, semin mm. = Veterinær, medisin, semin mm. [C40] ÷ Tal produserte oksar [C7]</t>
        </is>
      </c>
      <c r="F70" s="24" t="inlineStr">
        <is>
          <t>=IF((C7)=0,0,(C40)/(C7))</t>
        </is>
      </c>
    </row>
    <row r="71">
      <c r="A71" s="20" t="inlineStr">
        <is>
          <t>Innkjøp dyr</t>
        </is>
      </c>
      <c r="B71" s="21" t="inlineStr">
        <is>
          <t>Utrekna</t>
        </is>
      </c>
      <c r="C71" s="38">
        <f>IF((C7)=0,0,(C41)/(C7))</f>
        <v/>
      </c>
      <c r="D71" s="12" t="inlineStr">
        <is>
          <t>kr</t>
        </is>
      </c>
      <c r="E71" s="23" t="inlineStr">
        <is>
          <t>Innkjøp dyr = Innkjøp dyr [C41] ÷ Tal produserte oksar [C7]</t>
        </is>
      </c>
      <c r="F71" s="24" t="inlineStr">
        <is>
          <t>=IF((C7)=0,0,(C41)/(C7))</t>
        </is>
      </c>
    </row>
    <row r="72">
      <c r="A72" s="20" t="inlineStr">
        <is>
          <t>Andre variable kostnader</t>
        </is>
      </c>
      <c r="B72" s="21" t="inlineStr">
        <is>
          <t>Utrekna</t>
        </is>
      </c>
      <c r="C72" s="38">
        <f>IF((C7)=0,0,(C42)/(C7))</f>
        <v/>
      </c>
      <c r="D72" s="12" t="inlineStr">
        <is>
          <t>kr</t>
        </is>
      </c>
      <c r="E72" s="23" t="inlineStr">
        <is>
          <t>Andre variable kostnader = Andre variable kostnader [C42] ÷ Tal produserte oksar [C7]</t>
        </is>
      </c>
      <c r="F72" s="24" t="inlineStr">
        <is>
          <t>=IF((C7)=0,0,(C42)/(C7))</t>
        </is>
      </c>
    </row>
    <row r="73">
      <c r="A73" s="20" t="inlineStr">
        <is>
          <t>Sum variable kostnader</t>
        </is>
      </c>
      <c r="B73" s="21" t="inlineStr">
        <is>
          <t>Utrekna</t>
        </is>
      </c>
      <c r="C73" s="38">
        <f>IF((C7)=0,0,(C52)/(C7))</f>
        <v/>
      </c>
      <c r="D73" s="12" t="inlineStr">
        <is>
          <t>kr</t>
        </is>
      </c>
      <c r="E73" s="23" t="inlineStr">
        <is>
          <t>Sum variable kostnader = Variable kostnader i alt [C52] ÷ Tal produserte oksar [C7]</t>
        </is>
      </c>
      <c r="F73" s="24" t="inlineStr">
        <is>
          <t>=IF((C7)=0,0,(C52)/(C7))</t>
        </is>
      </c>
    </row>
    <row r="74">
      <c r="A74" s="18" t="inlineStr">
        <is>
          <t>Resultat pr okse</t>
        </is>
      </c>
      <c r="B74" s="19" t="n"/>
      <c r="C74" s="19" t="n"/>
      <c r="D74" s="19" t="n"/>
      <c r="E74" s="19" t="n"/>
      <c r="F74" s="19" t="n"/>
    </row>
    <row r="75">
      <c r="A75" s="20" t="inlineStr">
        <is>
          <t>DB utan tilskot</t>
        </is>
      </c>
      <c r="B75" s="21" t="inlineStr">
        <is>
          <t>Utrekna</t>
        </is>
      </c>
      <c r="C75" s="38">
        <f>IF((C7)=0,0,(C53)/(C7))</f>
        <v/>
      </c>
      <c r="D75" s="12" t="inlineStr">
        <is>
          <t>kr</t>
        </is>
      </c>
      <c r="E75" s="23" t="inlineStr">
        <is>
          <t>DB utan tilskot = Dekningsbidrag (DB) utan tilskot [C53] ÷ Tal produserte oksar [C7]</t>
        </is>
      </c>
      <c r="F75" s="24" t="inlineStr">
        <is>
          <t>=IF((C7)=0,0,(C53)/(C7))</t>
        </is>
      </c>
    </row>
    <row r="76">
      <c r="A76" s="20" t="inlineStr">
        <is>
          <t>Tilskot</t>
        </is>
      </c>
      <c r="B76" s="21" t="inlineStr">
        <is>
          <t>Utrekna</t>
        </is>
      </c>
      <c r="C76" s="38">
        <f>IF((C7)=0,0,(C20)/(C7))</f>
        <v/>
      </c>
      <c r="D76" s="12" t="inlineStr">
        <is>
          <t>kr</t>
        </is>
      </c>
      <c r="E76" s="23" t="inlineStr">
        <is>
          <t>Tilskot = Produksjonstilskot fordelt på produksjonen [C20] ÷ Tal produserte oksar [C7]</t>
        </is>
      </c>
      <c r="F76" s="24" t="inlineStr">
        <is>
          <t>=IF((C7)=0,0,(C20)/(C7))</t>
        </is>
      </c>
    </row>
    <row r="77">
      <c r="A77" s="20" t="inlineStr">
        <is>
          <t>DB med tilskot</t>
        </is>
      </c>
      <c r="B77" s="21" t="inlineStr">
        <is>
          <t>Utrekna</t>
        </is>
      </c>
      <c r="C77" s="38">
        <f>IF((C7)=0,0,(C54)/(C7))</f>
        <v/>
      </c>
      <c r="D77" s="12" t="inlineStr">
        <is>
          <t>kr</t>
        </is>
      </c>
      <c r="E77" s="23" t="inlineStr">
        <is>
          <t>DB med tilskot = Dekningsbidrag (DB) med tilskot [C54] ÷ Tal produserte oksar [C7]</t>
        </is>
      </c>
      <c r="F77" s="24" t="inlineStr">
        <is>
          <t>=IF((C7)=0,0,(C54)/(C7))</t>
        </is>
      </c>
    </row>
    <row r="78">
      <c r="A78" s="20" t="inlineStr">
        <is>
          <t>Maskinkostnader</t>
        </is>
      </c>
      <c r="B78" s="21" t="inlineStr">
        <is>
          <t>Utrekna</t>
        </is>
      </c>
      <c r="C78" s="38">
        <f>IF((C7)=0,0,(C44)/(C7))</f>
        <v/>
      </c>
      <c r="D78" s="12" t="inlineStr">
        <is>
          <t>kr</t>
        </is>
      </c>
      <c r="E78" s="23" t="inlineStr">
        <is>
          <t>Maskinkostnader = Maskinkostnader fordelt [C44] ÷ Tal produserte oksar [C7]</t>
        </is>
      </c>
      <c r="F78" s="24" t="inlineStr">
        <is>
          <t>=IF((C7)=0,0,(C44)/(C7))</t>
        </is>
      </c>
    </row>
    <row r="79">
      <c r="A79" s="20" t="inlineStr">
        <is>
          <t>Innandørsmekanisering</t>
        </is>
      </c>
      <c r="B79" s="21" t="inlineStr">
        <is>
          <t>Utrekna</t>
        </is>
      </c>
      <c r="C79" s="38">
        <f>IF((C7)=0,0,(C45)/(C7))</f>
        <v/>
      </c>
      <c r="D79" s="12" t="inlineStr">
        <is>
          <t>kr</t>
        </is>
      </c>
      <c r="E79" s="23" t="inlineStr">
        <is>
          <t>Innandørsmekanisering = Innandørsmekanisering fordelt [C45] ÷ Tal produserte oksar [C7]</t>
        </is>
      </c>
      <c r="F79" s="24" t="inlineStr">
        <is>
          <t>=IF((C7)=0,0,(C45)/(C7))</t>
        </is>
      </c>
    </row>
    <row r="80">
      <c r="A80" s="20" t="inlineStr">
        <is>
          <t>DB m/tilskot etter maskin og innandørsmek.</t>
        </is>
      </c>
      <c r="B80" s="21" t="inlineStr">
        <is>
          <t>Utrekna</t>
        </is>
      </c>
      <c r="C80" s="38">
        <f>IF((C7)=0,0,(C55)/(C7))</f>
        <v/>
      </c>
      <c r="D80" s="12" t="inlineStr">
        <is>
          <t>kr</t>
        </is>
      </c>
      <c r="E80" s="23" t="inlineStr">
        <is>
          <t>DB m/tilskot etter maskin og innandørsmek. = DB m/tilskot etter maskin- og innandørskostnad [C55] ÷ Tal produserte oksar [C7]</t>
        </is>
      </c>
      <c r="F80" s="24" t="inlineStr">
        <is>
          <t>=IF((C7)=0,0,(C55)/(C7))</t>
        </is>
      </c>
    </row>
    <row r="81">
      <c r="A81" s="18" t="inlineStr">
        <is>
          <t>6. OUTPUT – Nøkkeltal</t>
        </is>
      </c>
      <c r="B81" s="19" t="n"/>
      <c r="C81" s="19" t="n"/>
      <c r="D81" s="19" t="n"/>
      <c r="E81" s="19" t="n"/>
      <c r="F81" s="19" t="n"/>
    </row>
    <row r="82">
      <c r="A82" s="25" t="inlineStr">
        <is>
          <t>DB pr okse u/tilskot</t>
        </is>
      </c>
      <c r="B82" s="26" t="inlineStr">
        <is>
          <t>Utrekna</t>
        </is>
      </c>
      <c r="C82" s="39">
        <f>IF((C7)=0,0,(C53)/(C7))</f>
        <v/>
      </c>
      <c r="D82" s="28" t="inlineStr">
        <is>
          <t>kr</t>
        </is>
      </c>
      <c r="E82" s="29" t="inlineStr">
        <is>
          <t>DB pr okse u/tilskot = Dekningsbidrag (DB) utan tilskot [C53] ÷ Tal produserte oksar [C7]</t>
        </is>
      </c>
      <c r="F82" s="30" t="inlineStr">
        <is>
          <t>=IF((C7)=0,0,(C53)/(C7))</t>
        </is>
      </c>
    </row>
    <row r="83">
      <c r="A83" s="25" t="inlineStr">
        <is>
          <t>DB pr okse m/tilskot</t>
        </is>
      </c>
      <c r="B83" s="26" t="inlineStr">
        <is>
          <t>Utrekna</t>
        </is>
      </c>
      <c r="C83" s="39">
        <f>IF((C7)=0,0,(C54)/(C7))</f>
        <v/>
      </c>
      <c r="D83" s="28" t="inlineStr">
        <is>
          <t>kr</t>
        </is>
      </c>
      <c r="E83" s="29" t="inlineStr">
        <is>
          <t>DB pr okse m/tilskot = Dekningsbidrag (DB) med tilskot [C54] ÷ Tal produserte oksar [C7]</t>
        </is>
      </c>
      <c r="F83" s="30" t="inlineStr">
        <is>
          <t>=IF((C7)=0,0,(C54)/(C7))</t>
        </is>
      </c>
    </row>
    <row r="84">
      <c r="A84" s="25" t="inlineStr">
        <is>
          <t>DB pr dekar grovfôr u/tilskot</t>
        </is>
      </c>
      <c r="B84" s="26" t="inlineStr">
        <is>
          <t>Utrekna</t>
        </is>
      </c>
      <c r="C84" s="39">
        <f>IF(('Grovfôr'!C21*IF(('Grovfôr'!C38)=0,0,(C50)/('Grovfôr'!C38)))=0,0,(C53)/('Grovfôr'!C21*IF(('Grovfôr'!C38)=0,0,(C50)/('Grovfôr'!C38))))</f>
        <v/>
      </c>
      <c r="D84" s="28" t="inlineStr">
        <is>
          <t>kr</t>
        </is>
      </c>
      <c r="E84" s="29" t="inlineStr">
        <is>
          <t>DB pr dekar grovfôr u/tilskot = Dekningsbidrag (DB) utan tilskot [C53] ÷ (Korrigert grovfôrareal (overflate/1,25 + fulldyrka + kulturbeite/2,5) [Grovfôr!C21] × Sum eigen grovfôrproduksjon (utan lagerendring) [C50] ÷ Sum eigen grovfôrkostnad (fordelingsnøkkel areal) [Grovfôr!C38])   (Grovfôrarealet blir fordelt etter produksjonen sin del av eigen grovfôrkostnad)</t>
        </is>
      </c>
      <c r="F84" s="30" t="inlineStr">
        <is>
          <t>=IF(('Grovfôr'!C21*IF(('Grovfôr'!C38)=0,0,(C50)/('Grovfôr'!C38)))=0,0,(C53)/('Grovfôr'!C21*IF(('Grovfôr'!C38)=0,0,(C50)/('Grovfôr'!C38))))</t>
        </is>
      </c>
    </row>
    <row r="85">
      <c r="A85" s="25" t="inlineStr">
        <is>
          <t>DB pr dekar grovfôr m/tilskot</t>
        </is>
      </c>
      <c r="B85" s="26" t="inlineStr">
        <is>
          <t>Utrekna</t>
        </is>
      </c>
      <c r="C85" s="39">
        <f>IF(('Grovfôr'!C21*IF(('Grovfôr'!C38)=0,0,(C50)/('Grovfôr'!C38)))=0,0,(C54)/('Grovfôr'!C21*IF(('Grovfôr'!C38)=0,0,(C50)/('Grovfôr'!C38))))</f>
        <v/>
      </c>
      <c r="D85" s="28" t="inlineStr">
        <is>
          <t>kr</t>
        </is>
      </c>
      <c r="E85" s="29" t="inlineStr">
        <is>
          <t>DB pr dekar grovfôr m/tilskot = Dekningsbidrag (DB) med tilskot [C54] ÷ (Korrigert grovfôrareal (overflate/1,25 + fulldyrka + kulturbeite/2,5) [Grovfôr!C21] × Sum eigen grovfôrproduksjon (utan lagerendring) [C50] ÷ Sum eigen grovfôrkostnad (fordelingsnøkkel areal) [Grovfôr!C38])</t>
        </is>
      </c>
      <c r="F85" s="30" t="inlineStr">
        <is>
          <t>=IF(('Grovfôr'!C21*IF(('Grovfôr'!C38)=0,0,(C50)/('Grovfôr'!C38)))=0,0,(C54)/('Grovfôr'!C21*IF(('Grovfôr'!C38)=0,0,(C50)/('Grovfôr'!C38))))</t>
        </is>
      </c>
    </row>
    <row r="86">
      <c r="A86" s="25" t="inlineStr">
        <is>
          <t>Variabel grovfôrkostnad pr dekar</t>
        </is>
      </c>
      <c r="B86" s="26" t="inlineStr">
        <is>
          <t>Lenkje frå anna ark</t>
        </is>
      </c>
      <c r="C86" s="40">
        <f>'Grovfôr'!C52</f>
        <v/>
      </c>
      <c r="D86" s="28" t="inlineStr">
        <is>
          <t>kr</t>
        </is>
      </c>
      <c r="E86" s="29" t="inlineStr">
        <is>
          <t>Variabel grovfôrkostnad pr dekar = Variabel grovfôrkostnad pr korrigert dekar [Grovfôr!C52]</t>
        </is>
      </c>
      <c r="F86" s="30" t="inlineStr">
        <is>
          <t>='Grovfôr'!C52</t>
        </is>
      </c>
    </row>
    <row r="87">
      <c r="A87" s="25" t="inlineStr">
        <is>
          <t>Maskinkostnader pr dekar grovfôr</t>
        </is>
      </c>
      <c r="B87" s="26" t="inlineStr">
        <is>
          <t>Lenkje frå anna ark</t>
        </is>
      </c>
      <c r="C87" s="40">
        <f>'Grovfôr'!C53</f>
        <v/>
      </c>
      <c r="D87" s="28" t="inlineStr">
        <is>
          <t>kr</t>
        </is>
      </c>
      <c r="E87" s="29" t="inlineStr">
        <is>
          <t>Maskinkostnader pr dekar grovfôr = Maskinkostnader pr dekar grovfôr [Grovfôr!C53]</t>
        </is>
      </c>
      <c r="F87" s="30" t="inlineStr">
        <is>
          <t>='Grovfôr'!C53</t>
        </is>
      </c>
    </row>
    <row r="88">
      <c r="A88" s="25" t="inlineStr">
        <is>
          <t>Korrigerte dekar pr «kueining»</t>
        </is>
      </c>
      <c r="B88" s="26" t="inlineStr">
        <is>
          <t>Lenkje frå anna ark</t>
        </is>
      </c>
      <c r="C88" s="40">
        <f>'Grovfôr'!C54</f>
        <v/>
      </c>
      <c r="D88" s="28" t="inlineStr">
        <is>
          <t>da</t>
        </is>
      </c>
      <c r="E88" s="29" t="inlineStr">
        <is>
          <t>Korrigerte dekar pr «kueining» = Korrigerte dekar pr «kueining» [Grovfôr!C54]</t>
        </is>
      </c>
      <c r="F88" s="30" t="inlineStr">
        <is>
          <t>='Grovfôr'!C54</t>
        </is>
      </c>
    </row>
    <row r="89">
      <c r="A89" s="25" t="inlineStr">
        <is>
          <t>Snitt slaktepris pr okse</t>
        </is>
      </c>
      <c r="B89" s="26" t="inlineStr">
        <is>
          <t>Utrekna</t>
        </is>
      </c>
      <c r="C89" s="39">
        <f>IF((C9)=0,0,(C21)/(C9))</f>
        <v/>
      </c>
      <c r="D89" s="28" t="inlineStr">
        <is>
          <t>kr</t>
        </is>
      </c>
      <c r="E89" s="29" t="inlineStr">
        <is>
          <t>Snitt slaktepris pr okse = Slakt [C21] ÷ Tal slakta oksar [C9]</t>
        </is>
      </c>
      <c r="F89" s="30" t="inlineStr">
        <is>
          <t>=IF((C9)=0,0,(C21)/(C9))</t>
        </is>
      </c>
    </row>
    <row r="90">
      <c r="A90" s="25" t="inlineStr">
        <is>
          <t>Snitt kjøpspris pr kalv</t>
        </is>
      </c>
      <c r="B90" s="26" t="inlineStr">
        <is>
          <t>Utrekna</t>
        </is>
      </c>
      <c r="C90" s="39">
        <f>IF((C11)=0,0,(C41)/(C11))</f>
        <v/>
      </c>
      <c r="D90" s="28" t="inlineStr">
        <is>
          <t>kr</t>
        </is>
      </c>
      <c r="E90" s="29" t="inlineStr">
        <is>
          <t>Snitt kjøpspris pr kalv = Innkjøp dyr [C41] ÷ Tal kjøpte kalvar [C11]</t>
        </is>
      </c>
      <c r="F90" s="30" t="inlineStr">
        <is>
          <t>=IF((C11)=0,0,(C41)/(C11))</t>
        </is>
      </c>
    </row>
    <row r="91">
      <c r="A91" s="25" t="inlineStr">
        <is>
          <t>Slaktepris – kjøpspris pr okse</t>
        </is>
      </c>
      <c r="B91" s="26" t="inlineStr">
        <is>
          <t>Utrekna</t>
        </is>
      </c>
      <c r="C91" s="39">
        <f>IF((C9)=0,0,(C21)/(C9))-IF((C11)=0,0,(C41)/(C11))</f>
        <v/>
      </c>
      <c r="D91" s="28" t="inlineStr">
        <is>
          <t>kr</t>
        </is>
      </c>
      <c r="E91" s="29" t="inlineStr">
        <is>
          <t>Slaktepris – kjøpspris pr okse = Slakt [C21] ÷ Tal slakta oksar [C9] − Innkjøp dyr [C41] ÷ Tal kjøpte kalvar [C11]</t>
        </is>
      </c>
      <c r="F91" s="30" t="inlineStr">
        <is>
          <t>=IF((C9)=0,0,(C21)/(C9))-IF((C11)=0,0,(C41)/(C11))</t>
        </is>
      </c>
    </row>
    <row r="92">
      <c r="A92" s="25" t="inlineStr">
        <is>
          <t>Oppnådd pris pr kg slakt (u/distriktstilskot)</t>
        </is>
      </c>
      <c r="B92" s="26" t="inlineStr">
        <is>
          <t>Utrekna</t>
        </is>
      </c>
      <c r="C92" s="39">
        <f>IF((C8)=0,0,(C21-C25)/(C8))</f>
        <v/>
      </c>
      <c r="D92" s="28" t="inlineStr">
        <is>
          <t>kr</t>
        </is>
      </c>
      <c r="E92" s="29" t="inlineStr">
        <is>
          <t>Oppnådd pris pr kg slakt (u/distriktstilskot) = (Slakt [C21] − Herav distriktstilskot kjøt [C25]) ÷ Kg slakt [C8]</t>
        </is>
      </c>
      <c r="F92" s="30" t="inlineStr">
        <is>
          <t>=IF((C8)=0,0,(C21-C25)/(C8))</t>
        </is>
      </c>
    </row>
    <row r="93">
      <c r="A93" s="25" t="inlineStr">
        <is>
          <t>Slaktevekt pr okse (kg)</t>
        </is>
      </c>
      <c r="B93" s="26" t="inlineStr">
        <is>
          <t>Utrekna</t>
        </is>
      </c>
      <c r="C93" s="37">
        <f>IF((C9)=0,0,(C8)/(C9))</f>
        <v/>
      </c>
      <c r="D93" s="28" t="inlineStr">
        <is>
          <t>kg</t>
        </is>
      </c>
      <c r="E93" s="29" t="inlineStr">
        <is>
          <t>Slaktevekt pr okse (kg) = Kg slakt [C8] ÷ Tal slakta oksar [C9]</t>
        </is>
      </c>
      <c r="F93" s="30" t="inlineStr">
        <is>
          <t>=IF((C9)=0,0,(C8)/(C9))</t>
        </is>
      </c>
    </row>
    <row r="94">
      <c r="A94" s="25" t="inlineStr">
        <is>
          <t>Innandørsmekanisering pr okse</t>
        </is>
      </c>
      <c r="B94" s="26" t="inlineStr">
        <is>
          <t>Utrekna</t>
        </is>
      </c>
      <c r="C94" s="39">
        <f>IF((C7)=0,0,(C45)/(C7))</f>
        <v/>
      </c>
      <c r="D94" s="28" t="inlineStr">
        <is>
          <t>kr</t>
        </is>
      </c>
      <c r="E94" s="29" t="inlineStr">
        <is>
          <t>Innandørsmekanisering pr okse = Innandørsmekanisering fordelt [C45] ÷ Tal produserte oksar [C7]</t>
        </is>
      </c>
      <c r="F94" s="30" t="inlineStr">
        <is>
          <t>=IF((C7)=0,0,(C45)/(C7))</t>
        </is>
      </c>
    </row>
    <row r="95">
      <c r="A95" s="25" t="inlineStr">
        <is>
          <t>Tapsprosent</t>
        </is>
      </c>
      <c r="B95" s="26" t="inlineStr">
        <is>
          <t>Utrekna</t>
        </is>
      </c>
      <c r="C95" s="33">
        <f>MAX(0,IF((C12+C14+C11)=0,0,((C12+C14+C11)-(C13+C15+C9+C10))/(C12+C14+C11)))</f>
        <v/>
      </c>
      <c r="D95" s="28" t="inlineStr">
        <is>
          <t>%</t>
        </is>
      </c>
      <c r="E95" s="29" t="inlineStr">
        <is>
          <t>Tapsprosent = MAKS(0; ((Oksar over 12 md pr 1.1. [C12] + Oksar/kalvar under 12 md pr 1.1. [C14] + Tal kjøpte kalvar [C11]) − (Oksar over 12 md pr 31.12. [C13] + Oksar/kalvar under 12 md pr 31.12. [C15] + Tal slakta oksar [C9] + Tal storfe selt til liv [C10])) ÷ (Oksar over 12 md pr 1.1. [C12] + Oksar/kalvar under 12 md pr 1.1. [C14] + Tal kjøpte kalvar [C11]))   ((Inngåande dyr + kjøpte) – (utgåande dyr + slakta + selde), delt på inngåande + kjøpte)</t>
        </is>
      </c>
      <c r="F95" s="30" t="inlineStr">
        <is>
          <t>=MAX(0,IF((C12+C14+C11)=0,0,((C12+C14+C11)-(C13+C15+C9+C10))/(C12+C14+C11)))</t>
        </is>
      </c>
    </row>
  </sheetData>
  <pageMargins left="0.75" right="0.75" top="1" bottom="1" header="0.5" footer="0.5"/>
  <pageSetup orientation="landscape" fitToHeight="0" fitToWidth="1"/>
</worksheet>
</file>

<file path=xl/worksheets/sheet17.xml><?xml version="1.0" encoding="utf-8"?>
<worksheet xmlns="http://schemas.openxmlformats.org/spreadsheetml/2006/main">
  <sheetPr>
    <outlinePr summaryBelow="1" summaryRight="1"/>
    <pageSetUpPr fitToPage="1"/>
  </sheetPr>
  <dimension ref="A1:F9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0" customWidth="1" min="1" max="1"/>
    <col width="34" customWidth="1" min="2" max="2"/>
    <col width="16" customWidth="1" min="3" max="3"/>
    <col width="10" customWidth="1" min="4" max="4"/>
    <col width="78" customWidth="1" min="5" max="5"/>
    <col width="46" customWidth="1" min="6" max="6"/>
  </cols>
  <sheetData>
    <row r="1" ht="22" customHeight="1">
      <c r="A1" s="1" t="inlineStr">
        <is>
          <t>Mellomkalv  –  driftsgrein 6124</t>
        </is>
      </c>
    </row>
    <row r="2">
      <c r="A2" s="7" t="inlineStr">
        <is>
          <t>Mellomkalv (driftsgrein 6124).</t>
        </is>
      </c>
    </row>
    <row r="3">
      <c r="A3" s="8" t="inlineStr">
        <is>
          <t>Fargekodar:  blå tal på gul botn = input (skal fyllast inn)   ·   svart = formel   ·   grøn = lenkje frå anna ark.   Alle kronebeløp er positive (inntekt og kostnad).</t>
        </is>
      </c>
    </row>
    <row r="5">
      <c r="A5" s="17" t="inlineStr">
        <is>
          <t>Post</t>
        </is>
      </c>
      <c r="B5" s="17" t="inlineStr">
        <is>
          <t>Kjelde / Tripletex-konto</t>
        </is>
      </c>
      <c r="C5" s="17" t="inlineStr">
        <is>
          <t>Verdi</t>
        </is>
      </c>
      <c r="D5" s="17" t="inlineStr">
        <is>
          <t>Eining</t>
        </is>
      </c>
      <c r="E5" s="17" t="inlineStr">
        <is>
          <t>Formel forklart (korleis outputen blir rekna)</t>
        </is>
      </c>
      <c r="F5" s="17" t="inlineStr">
        <is>
          <t>Excel-formel</t>
        </is>
      </c>
    </row>
    <row r="6">
      <c r="A6" s="18" t="inlineStr">
        <is>
          <t>1. INPUT – Produksjonsdata (frå produksjonstabell / teljingar)</t>
        </is>
      </c>
      <c r="B6" s="19" t="n"/>
      <c r="C6" s="19" t="n"/>
      <c r="D6" s="19" t="n"/>
      <c r="E6" s="19" t="n"/>
      <c r="F6" s="19" t="n"/>
    </row>
    <row r="7">
      <c r="A7" s="20" t="inlineStr">
        <is>
          <t>Tal produserte kalvar</t>
        </is>
      </c>
      <c r="B7" s="24" t="inlineStr">
        <is>
          <t>Produksjonstabell (EnhetAntall)</t>
        </is>
      </c>
      <c r="C7" s="31" t="n">
        <v>20</v>
      </c>
      <c r="D7" s="12" t="inlineStr">
        <is>
          <t>stk</t>
        </is>
      </c>
      <c r="E7" s="24" t="inlineStr">
        <is>
          <t>Input. Hentast frå: Produksjonstabell (EnhetAntall).</t>
        </is>
      </c>
      <c r="F7" s="32" t="n"/>
    </row>
    <row r="8">
      <c r="A8" s="20" t="inlineStr">
        <is>
          <t>Kg slakt</t>
        </is>
      </c>
      <c r="B8" s="24" t="inlineStr">
        <is>
          <t>Mengde 2 på konto 3041</t>
        </is>
      </c>
      <c r="C8" s="31" t="n">
        <v>3400</v>
      </c>
      <c r="D8" s="12" t="inlineStr">
        <is>
          <t>kg</t>
        </is>
      </c>
      <c r="E8" s="24" t="inlineStr">
        <is>
          <t>Input. Hentast frå: Mengde 2 på konto 3041.</t>
        </is>
      </c>
      <c r="F8" s="32" t="n"/>
    </row>
    <row r="9">
      <c r="A9" s="20" t="inlineStr">
        <is>
          <t>Tal slakta kalvar</t>
        </is>
      </c>
      <c r="B9" s="24" t="inlineStr">
        <is>
          <t>Mengde 1 på konto 3041</t>
        </is>
      </c>
      <c r="C9" s="31" t="n">
        <v>20</v>
      </c>
      <c r="D9" s="12" t="inlineStr">
        <is>
          <t>stk</t>
        </is>
      </c>
      <c r="E9" s="24" t="inlineStr">
        <is>
          <t>Input. Hentast frå: Mengde 1 på konto 3041.</t>
        </is>
      </c>
      <c r="F9" s="32" t="n"/>
    </row>
    <row r="10">
      <c r="A10" s="20" t="inlineStr">
        <is>
          <t>Tal selt til liv</t>
        </is>
      </c>
      <c r="B10" s="24" t="inlineStr">
        <is>
          <t>Mengde 1 på konto 3051</t>
        </is>
      </c>
      <c r="C10" s="31" t="n">
        <v>0</v>
      </c>
      <c r="D10" s="12" t="inlineStr">
        <is>
          <t>stk</t>
        </is>
      </c>
      <c r="E10" s="24" t="inlineStr">
        <is>
          <t>Input. Hentast frå: Mengde 1 på konto 3051.</t>
        </is>
      </c>
      <c r="F10" s="32" t="n"/>
    </row>
    <row r="11">
      <c r="A11" s="20" t="inlineStr">
        <is>
          <t>Tal kjøpte kalvar</t>
        </is>
      </c>
      <c r="B11" s="24" t="inlineStr">
        <is>
          <t>Mengde 1 på konto 4610</t>
        </is>
      </c>
      <c r="C11" s="31" t="n">
        <v>20</v>
      </c>
      <c r="D11" s="12" t="inlineStr">
        <is>
          <t>stk</t>
        </is>
      </c>
      <c r="E11" s="24" t="inlineStr">
        <is>
          <t>Input. Hentast frå: Mengde 1 på konto 4610.</t>
        </is>
      </c>
      <c r="F11" s="32" t="n"/>
    </row>
    <row r="12">
      <c r="A12" s="20" t="inlineStr">
        <is>
          <t>Ungdyr over 12 md pr 1.1.</t>
        </is>
      </c>
      <c r="B12" s="24" t="inlineStr">
        <is>
          <t>1451.20 (IB)</t>
        </is>
      </c>
      <c r="C12" s="31" t="n">
        <v>0</v>
      </c>
      <c r="D12" s="12" t="inlineStr">
        <is>
          <t>stk</t>
        </is>
      </c>
      <c r="E12" s="24" t="inlineStr">
        <is>
          <t>Input. Hentast frå: 1451.20 (IB).</t>
        </is>
      </c>
      <c r="F12" s="32" t="n"/>
    </row>
    <row r="13">
      <c r="A13" s="20" t="inlineStr">
        <is>
          <t>Ungdyr over 12 md pr 31.12.</t>
        </is>
      </c>
      <c r="B13" s="24" t="inlineStr">
        <is>
          <t>1451.20 (UB)</t>
        </is>
      </c>
      <c r="C13" s="31" t="n">
        <v>0</v>
      </c>
      <c r="D13" s="12" t="inlineStr">
        <is>
          <t>stk</t>
        </is>
      </c>
      <c r="E13" s="24" t="inlineStr">
        <is>
          <t>Input. Hentast frå: 1451.20 (UB).</t>
        </is>
      </c>
      <c r="F13" s="32" t="n"/>
    </row>
    <row r="14">
      <c r="A14" s="20" t="inlineStr">
        <is>
          <t>Kalvar under 12 md pr 1.1.</t>
        </is>
      </c>
      <c r="B14" s="24" t="inlineStr">
        <is>
          <t>1451.20 (IB)</t>
        </is>
      </c>
      <c r="C14" s="31" t="n">
        <v>8</v>
      </c>
      <c r="D14" s="12" t="inlineStr">
        <is>
          <t>stk</t>
        </is>
      </c>
      <c r="E14" s="24" t="inlineStr">
        <is>
          <t>Input. Hentast frå: 1451.20 (IB).</t>
        </is>
      </c>
      <c r="F14" s="32" t="n"/>
    </row>
    <row r="15">
      <c r="A15" s="20" t="inlineStr">
        <is>
          <t>Kalvar under 12 md pr 31.12.</t>
        </is>
      </c>
      <c r="B15" s="24" t="inlineStr">
        <is>
          <t>1451.20 (UB)</t>
        </is>
      </c>
      <c r="C15" s="31" t="n">
        <v>8</v>
      </c>
      <c r="D15" s="12" t="inlineStr">
        <is>
          <t>stk</t>
        </is>
      </c>
      <c r="E15" s="24" t="inlineStr">
        <is>
          <t>Input. Hentast frå: 1451.20 (UB).</t>
        </is>
      </c>
      <c r="F15" s="32" t="n"/>
    </row>
    <row r="16">
      <c r="A16" s="20" t="inlineStr">
        <is>
          <t>Fôrnorm beite (FEm)</t>
        </is>
      </c>
      <c r="B16" s="24" t="inlineStr">
        <is>
          <t>Fôrnorm pr kalv og år (jf. marginalanalysen). Brukt til arealbehov og fordelingsnøklar</t>
        </is>
      </c>
      <c r="C16" s="31" t="n">
        <v>0</v>
      </c>
      <c r="D16" s="12" t="inlineStr">
        <is>
          <t>FEm</t>
        </is>
      </c>
      <c r="E16" s="24" t="inlineStr">
        <is>
          <t>Input. Hentast frå: Fôrnorm pr kalv og år (jf. marginalanalysen). Brukt til arealbehov og fordelingsnøklar.</t>
        </is>
      </c>
      <c r="F16" s="32" t="n"/>
    </row>
    <row r="17">
      <c r="A17" s="20" t="inlineStr">
        <is>
          <t>Fôrnorm eige grovfôr vinter (FEm)</t>
        </is>
      </c>
      <c r="B17" s="24" t="inlineStr">
        <is>
          <t>Fôrnorm pr kalv og år (jf. marginalanalysen). Brukt til arealbehov og fordelingsnøklar</t>
        </is>
      </c>
      <c r="C17" s="31" t="n">
        <v>600</v>
      </c>
      <c r="D17" s="12" t="inlineStr">
        <is>
          <t>FEm</t>
        </is>
      </c>
      <c r="E17" s="24" t="inlineStr">
        <is>
          <t>Input. Hentast frå: Fôrnorm pr kalv og år (jf. marginalanalysen). Brukt til arealbehov og fordelingsnøklar.</t>
        </is>
      </c>
      <c r="F17" s="32" t="n"/>
    </row>
    <row r="18">
      <c r="A18" s="20" t="inlineStr">
        <is>
          <t>Fôrnorm kraftfôr (FEm)</t>
        </is>
      </c>
      <c r="B18" s="24" t="inlineStr">
        <is>
          <t>Fôrnorm pr kalv og år (jf. marginalanalysen). Brukt til arealbehov og fordelingsnøklar</t>
        </is>
      </c>
      <c r="C18" s="31" t="n">
        <v>400</v>
      </c>
      <c r="D18" s="12" t="inlineStr">
        <is>
          <t>FEm</t>
        </is>
      </c>
      <c r="E18" s="24" t="inlineStr">
        <is>
          <t>Input. Hentast frå: Fôrnorm pr kalv og år (jf. marginalanalysen). Brukt til arealbehov og fordelingsnøklar.</t>
        </is>
      </c>
      <c r="F18" s="32" t="n"/>
    </row>
    <row r="19">
      <c r="A19" s="18" t="inlineStr">
        <is>
          <t>2. INPUT – Rekneskapstal (kr) frå saldobalansen etter korrigeringar</t>
        </is>
      </c>
      <c r="B19" s="19" t="n"/>
      <c r="C19" s="19" t="n"/>
      <c r="D19" s="19" t="n"/>
      <c r="E19" s="19" t="n"/>
      <c r="F19" s="19" t="n"/>
    </row>
    <row r="20">
      <c r="A20" s="20" t="inlineStr">
        <is>
          <t>Produksjonstilskot fordelt på produksjonen</t>
        </is>
      </c>
      <c r="B20" s="24" t="inlineStr">
        <is>
          <t>34xx (ikkje 344x avløysartilskot)</t>
        </is>
      </c>
      <c r="C20" s="31" t="n">
        <v>30000</v>
      </c>
      <c r="D20" s="12" t="inlineStr">
        <is>
          <t>kr</t>
        </is>
      </c>
      <c r="E20" s="24" t="inlineStr">
        <is>
          <t>Input. Hentast frå: 34xx (ikkje 344x avløysartilskot).</t>
        </is>
      </c>
      <c r="F20" s="32" t="n"/>
    </row>
    <row r="21">
      <c r="A21" s="20" t="inlineStr">
        <is>
          <t>Slakt</t>
        </is>
      </c>
      <c r="B21" s="24" t="inlineStr">
        <is>
          <t>3040-3049, 3162, 3172, 3078</t>
        </is>
      </c>
      <c r="C21" s="31" t="n">
        <v>180000</v>
      </c>
      <c r="D21" s="12" t="inlineStr">
        <is>
          <t>kr</t>
        </is>
      </c>
      <c r="E21" s="24" t="inlineStr">
        <is>
          <t>Input. Hentast frå: 3040-3049, 3162, 3172, 3078.</t>
        </is>
      </c>
      <c r="F21" s="32" t="n"/>
    </row>
    <row r="22">
      <c r="A22" s="20" t="inlineStr">
        <is>
          <t>Livdyrsal</t>
        </is>
      </c>
      <c r="B22" s="24" t="inlineStr">
        <is>
          <t>3050-3059</t>
        </is>
      </c>
      <c r="C22" s="31" t="n">
        <v>0</v>
      </c>
      <c r="D22" s="12" t="inlineStr">
        <is>
          <t>kr</t>
        </is>
      </c>
      <c r="E22" s="24" t="inlineStr">
        <is>
          <t>Input. Hentast frå: 3050-3059.</t>
        </is>
      </c>
      <c r="F22" s="32" t="n"/>
    </row>
    <row r="23">
      <c r="A23" s="20" t="inlineStr">
        <is>
          <t>Buskap, beholdningsendring (+ = auke)</t>
        </is>
      </c>
      <c r="B23" s="24" t="inlineStr">
        <is>
          <t>4690-4698 (forteikn snudd)</t>
        </is>
      </c>
      <c r="C23" s="31" t="n">
        <v>0</v>
      </c>
      <c r="D23" s="12" t="inlineStr">
        <is>
          <t>kr</t>
        </is>
      </c>
      <c r="E23" s="24" t="inlineStr">
        <is>
          <t>Input. Hentast frå: 4690-4698 (forteikn snudd).</t>
        </is>
      </c>
      <c r="F23" s="32" t="n"/>
    </row>
    <row r="24">
      <c r="A24" s="20" t="inlineStr">
        <is>
          <t>Andre inntekter</t>
        </is>
      </c>
      <c r="B24" s="24" t="inlineStr">
        <is>
          <t>andre 3xxx kopla til produksjonen</t>
        </is>
      </c>
      <c r="C24" s="31" t="n">
        <v>0</v>
      </c>
      <c r="D24" s="12" t="inlineStr">
        <is>
          <t>kr</t>
        </is>
      </c>
      <c r="E24" s="24" t="inlineStr">
        <is>
          <t>Input. Hentast frå: andre 3xxx kopla til produksjonen.</t>
        </is>
      </c>
      <c r="F24" s="32" t="n"/>
    </row>
    <row r="25">
      <c r="A25" s="20" t="inlineStr">
        <is>
          <t>Herav distriktstilskot kjøt</t>
        </is>
      </c>
      <c r="B25" s="24" t="inlineStr">
        <is>
          <t>3047 Slakt, distriktstilskot (del av slakteinntekta)</t>
        </is>
      </c>
      <c r="C25" s="31" t="n">
        <v>8000</v>
      </c>
      <c r="D25" s="12" t="inlineStr">
        <is>
          <t>kr</t>
        </is>
      </c>
      <c r="E25" s="24" t="inlineStr">
        <is>
          <t>Input. Hentast frå: 3047 Slakt, distriktstilskot (del av slakteinntekta). Er med i beløpet over, brukt berre til prisutrekning.</t>
        </is>
      </c>
      <c r="F25" s="32" t="n"/>
    </row>
    <row r="26">
      <c r="A26" s="18" t="inlineStr">
        <is>
          <t>Variable kostnader – eigen grovfôrproduksjon</t>
        </is>
      </c>
      <c r="B26" s="19" t="n"/>
      <c r="C26" s="19" t="n"/>
      <c r="D26" s="19" t="n"/>
      <c r="E26" s="19" t="n"/>
      <c r="F26" s="19" t="n"/>
    </row>
    <row r="27">
      <c r="A27" s="20" t="inlineStr">
        <is>
          <t>Såfrø / grasfrø</t>
        </is>
      </c>
      <c r="B27" s="24" t="inlineStr">
        <is>
          <t>4001</t>
        </is>
      </c>
      <c r="C27" s="31" t="n">
        <v>500</v>
      </c>
      <c r="D27" s="12" t="inlineStr">
        <is>
          <t>kr</t>
        </is>
      </c>
      <c r="E27" s="24" t="inlineStr">
        <is>
          <t>Input. Hentast frå: 4001.</t>
        </is>
      </c>
      <c r="F27" s="32" t="n"/>
    </row>
    <row r="28">
      <c r="A28" s="20" t="inlineStr">
        <is>
          <t>Plantevernmiddel</t>
        </is>
      </c>
      <c r="B28" s="24" t="inlineStr">
        <is>
          <t>4110, 4191</t>
        </is>
      </c>
      <c r="C28" s="31" t="n">
        <v>0</v>
      </c>
      <c r="D28" s="12" t="inlineStr">
        <is>
          <t>kr</t>
        </is>
      </c>
      <c r="E28" s="24" t="inlineStr">
        <is>
          <t>Input. Hentast frå: 4110, 4191.</t>
        </is>
      </c>
      <c r="F28" s="32" t="n"/>
    </row>
    <row r="29">
      <c r="A29" s="20" t="inlineStr">
        <is>
          <t>Rundballeplast mm.</t>
        </is>
      </c>
      <c r="B29" s="24" t="inlineStr">
        <is>
          <t>4140, 4194</t>
        </is>
      </c>
      <c r="C29" s="31" t="n">
        <v>1500</v>
      </c>
      <c r="D29" s="12" t="inlineStr">
        <is>
          <t>kr</t>
        </is>
      </c>
      <c r="E29" s="24" t="inlineStr">
        <is>
          <t>Input. Hentast frå: 4140, 4194.</t>
        </is>
      </c>
      <c r="F29" s="32" t="n"/>
    </row>
    <row r="30">
      <c r="A30" s="20" t="inlineStr">
        <is>
          <t>Handelsgjødsel</t>
        </is>
      </c>
      <c r="B30" s="24" t="inlineStr">
        <is>
          <t>4050, 4095</t>
        </is>
      </c>
      <c r="C30" s="31" t="n">
        <v>3000</v>
      </c>
      <c r="D30" s="12" t="inlineStr">
        <is>
          <t>kr</t>
        </is>
      </c>
      <c r="E30" s="24" t="inlineStr">
        <is>
          <t>Input. Hentast frå: 4050, 4095.</t>
        </is>
      </c>
      <c r="F30" s="32" t="n"/>
    </row>
    <row r="31">
      <c r="A31" s="20" t="inlineStr">
        <is>
          <t>Kalk</t>
        </is>
      </c>
      <c r="B31" s="24" t="inlineStr">
        <is>
          <t>4057</t>
        </is>
      </c>
      <c r="C31" s="31" t="n">
        <v>500</v>
      </c>
      <c r="D31" s="12" t="inlineStr">
        <is>
          <t>kr</t>
        </is>
      </c>
      <c r="E31" s="24" t="inlineStr">
        <is>
          <t>Input. Hentast frå: 4057.</t>
        </is>
      </c>
      <c r="F31" s="32" t="n"/>
    </row>
    <row r="32">
      <c r="A32" s="20" t="inlineStr">
        <is>
          <t>Konserveringsmiddel</t>
        </is>
      </c>
      <c r="B32" s="24" t="inlineStr">
        <is>
          <t>4080, 4098</t>
        </is>
      </c>
      <c r="C32" s="31" t="n">
        <v>500</v>
      </c>
      <c r="D32" s="12" t="inlineStr">
        <is>
          <t>kr</t>
        </is>
      </c>
      <c r="E32" s="24" t="inlineStr">
        <is>
          <t>Input. Hentast frå: 4080, 4098.</t>
        </is>
      </c>
      <c r="F32" s="32" t="n"/>
    </row>
    <row r="33">
      <c r="A33" s="20" t="inlineStr">
        <is>
          <t>Endring anna varelager (variable kostn.)</t>
        </is>
      </c>
      <c r="B33" s="24" t="inlineStr">
        <is>
          <t>4090</t>
        </is>
      </c>
      <c r="C33" s="31" t="n">
        <v>0</v>
      </c>
      <c r="D33" s="12" t="inlineStr">
        <is>
          <t>kr</t>
        </is>
      </c>
      <c r="E33" s="24" t="inlineStr">
        <is>
          <t>Input. Hentast frå: 4090.</t>
        </is>
      </c>
      <c r="F33" s="32" t="n"/>
    </row>
    <row r="34">
      <c r="A34" s="20" t="inlineStr">
        <is>
          <t>Endring eigenprodusert grovfôr (+ = nedgang i lager)</t>
        </is>
      </c>
      <c r="B34" s="24" t="inlineStr">
        <is>
          <t>4297</t>
        </is>
      </c>
      <c r="C34" s="31" t="n">
        <v>0</v>
      </c>
      <c r="D34" s="12" t="inlineStr">
        <is>
          <t>kr</t>
        </is>
      </c>
      <c r="E34" s="24" t="inlineStr">
        <is>
          <t>Input. Hentast frå: 4297.</t>
        </is>
      </c>
      <c r="F34" s="32" t="n"/>
    </row>
    <row r="35">
      <c r="A35" s="18" t="inlineStr">
        <is>
          <t>Variable kostnader – anna</t>
        </is>
      </c>
      <c r="B35" s="19" t="n"/>
      <c r="C35" s="19" t="n"/>
      <c r="D35" s="19" t="n"/>
      <c r="E35" s="19" t="n"/>
      <c r="F35" s="19" t="n"/>
    </row>
    <row r="36">
      <c r="A36" s="20" t="inlineStr">
        <is>
          <t>Kjøp grovfôr</t>
        </is>
      </c>
      <c r="B36" s="24" t="inlineStr">
        <is>
          <t>4030</t>
        </is>
      </c>
      <c r="C36" s="31" t="n">
        <v>0</v>
      </c>
      <c r="D36" s="12" t="inlineStr">
        <is>
          <t>kr</t>
        </is>
      </c>
      <c r="E36" s="24" t="inlineStr">
        <is>
          <t>Input. Hentast frå: 4030.</t>
        </is>
      </c>
      <c r="F36" s="32" t="n"/>
    </row>
    <row r="37">
      <c r="A37" s="20" t="inlineStr">
        <is>
          <t>Beiteleige / dyr på beite</t>
        </is>
      </c>
      <c r="B37" s="24" t="inlineStr">
        <is>
          <t>4031</t>
        </is>
      </c>
      <c r="C37" s="31" t="n">
        <v>0</v>
      </c>
      <c r="D37" s="12" t="inlineStr">
        <is>
          <t>kr</t>
        </is>
      </c>
      <c r="E37" s="24" t="inlineStr">
        <is>
          <t>Input. Hentast frå: 4031.</t>
        </is>
      </c>
      <c r="F37" s="32" t="n"/>
    </row>
    <row r="38">
      <c r="A38" s="20" t="inlineStr">
        <is>
          <t>Endring innkjøpt grovfôrlager</t>
        </is>
      </c>
      <c r="B38" s="24" t="inlineStr">
        <is>
          <t>4093</t>
        </is>
      </c>
      <c r="C38" s="31" t="n">
        <v>0</v>
      </c>
      <c r="D38" s="12" t="inlineStr">
        <is>
          <t>kr</t>
        </is>
      </c>
      <c r="E38" s="24" t="inlineStr">
        <is>
          <t>Input. Hentast frå: 4093.</t>
        </is>
      </c>
      <c r="F38" s="32" t="n"/>
    </row>
    <row r="39">
      <c r="A39" s="20" t="inlineStr">
        <is>
          <t>Kraftfôr mm.</t>
        </is>
      </c>
      <c r="B39" s="24" t="inlineStr">
        <is>
          <t>4020-4029, 4040-4049, 4092, 4094</t>
        </is>
      </c>
      <c r="C39" s="31" t="n">
        <v>30000</v>
      </c>
      <c r="D39" s="12" t="inlineStr">
        <is>
          <t>kr</t>
        </is>
      </c>
      <c r="E39" s="24" t="inlineStr">
        <is>
          <t>Input. Hentast frå: 4020-4029, 4040-4049, 4092, 4094.</t>
        </is>
      </c>
      <c r="F39" s="32" t="n"/>
    </row>
    <row r="40">
      <c r="A40" s="20" t="inlineStr">
        <is>
          <t>Veterinær, medisin, semin mm.</t>
        </is>
      </c>
      <c r="B40" s="24" t="inlineStr">
        <is>
          <t>4120, 4192, 4520-4529</t>
        </is>
      </c>
      <c r="C40" s="31" t="n">
        <v>6000</v>
      </c>
      <c r="D40" s="12" t="inlineStr">
        <is>
          <t>kr</t>
        </is>
      </c>
      <c r="E40" s="24" t="inlineStr">
        <is>
          <t>Input. Hentast frå: 4120, 4192, 4520-4529.</t>
        </is>
      </c>
      <c r="F40" s="32" t="n"/>
    </row>
    <row r="41">
      <c r="A41" s="20" t="inlineStr">
        <is>
          <t>Innkjøp dyr</t>
        </is>
      </c>
      <c r="B41" s="24" t="inlineStr">
        <is>
          <t>4600-4689</t>
        </is>
      </c>
      <c r="C41" s="31" t="n">
        <v>90000</v>
      </c>
      <c r="D41" s="12" t="inlineStr">
        <is>
          <t>kr</t>
        </is>
      </c>
      <c r="E41" s="24" t="inlineStr">
        <is>
          <t>Input. Hentast frå: 4600-4689.</t>
        </is>
      </c>
      <c r="F41" s="32" t="n"/>
    </row>
    <row r="42">
      <c r="A42" s="20" t="inlineStr">
        <is>
          <t>Andre variable kostnader</t>
        </is>
      </c>
      <c r="B42" s="24" t="inlineStr">
        <is>
          <t>4130-4139, 4193, 4530-4549, 4560-4569 + andre 4xxx</t>
        </is>
      </c>
      <c r="C42" s="31" t="n">
        <v>6000</v>
      </c>
      <c r="D42" s="12" t="inlineStr">
        <is>
          <t>kr</t>
        </is>
      </c>
      <c r="E42" s="24" t="inlineStr">
        <is>
          <t>Input. Hentast frå: 4130-4139, 4193, 4530-4549, 4560-4569 + andre 4xxx.</t>
        </is>
      </c>
      <c r="F42" s="32" t="n"/>
    </row>
    <row r="43">
      <c r="A43" s="18" t="inlineStr">
        <is>
          <t>3. INPUT – Fordelte faste kostnader (lenka frå arket «Faste kostnader»)</t>
        </is>
      </c>
      <c r="B43" s="19" t="n"/>
      <c r="C43" s="19" t="n"/>
      <c r="D43" s="19" t="n"/>
      <c r="E43" s="19" t="n"/>
      <c r="F43" s="19" t="n"/>
    </row>
    <row r="44">
      <c r="A44" s="20" t="inlineStr">
        <is>
          <t>Maskinkostnader fordelt</t>
        </is>
      </c>
      <c r="B44" s="21" t="inlineStr">
        <is>
          <t>Lenkje frå anna ark</t>
        </is>
      </c>
      <c r="C44" s="13">
        <f>'Faste kostnader'!C48</f>
        <v/>
      </c>
      <c r="D44" s="12" t="inlineStr">
        <is>
          <t>kr</t>
        </is>
      </c>
      <c r="E44" s="23" t="inlineStr">
        <is>
          <t>Maskinkostnader fordelt = Maskinkostnader – Mellomkalv [Faste kostnader!C48]</t>
        </is>
      </c>
      <c r="F44" s="24" t="inlineStr">
        <is>
          <t>='Faste kostnader'!C48</t>
        </is>
      </c>
    </row>
    <row r="45">
      <c r="A45" s="20" t="inlineStr">
        <is>
          <t>Innandørsmekanisering fordelt</t>
        </is>
      </c>
      <c r="B45" s="21" t="inlineStr">
        <is>
          <t>Lenkje frå anna ark</t>
        </is>
      </c>
      <c r="C45" s="13">
        <f>'Faste kostnader'!C79</f>
        <v/>
      </c>
      <c r="D45" s="12" t="inlineStr">
        <is>
          <t>kr</t>
        </is>
      </c>
      <c r="E45" s="23" t="inlineStr">
        <is>
          <t>Innandørsmekanisering fordelt = Innandørsmekanisering – Mellomkalv [Faste kostnader!C79]</t>
        </is>
      </c>
      <c r="F45" s="24" t="inlineStr">
        <is>
          <t>='Faste kostnader'!C79</t>
        </is>
      </c>
    </row>
    <row r="46">
      <c r="A46" s="18" t="inlineStr">
        <is>
          <t>4. UTREKNING – Totalt for produksjonen</t>
        </is>
      </c>
      <c r="B46" s="19" t="n"/>
      <c r="C46" s="19" t="n"/>
      <c r="D46" s="19" t="n"/>
      <c r="E46" s="19" t="n"/>
      <c r="F46" s="19" t="n"/>
    </row>
    <row r="47">
      <c r="A47" s="20" t="inlineStr">
        <is>
          <t>Produksjonsinntekter i alt</t>
        </is>
      </c>
      <c r="B47" s="21" t="inlineStr">
        <is>
          <t>Utrekna</t>
        </is>
      </c>
      <c r="C47" s="22">
        <f>C21+C22+C23+C24</f>
        <v/>
      </c>
      <c r="D47" s="12" t="inlineStr">
        <is>
          <t>kr</t>
        </is>
      </c>
      <c r="E47" s="23" t="inlineStr">
        <is>
          <t>Produksjonsinntekter i alt = Slakt [C21] + Livdyrsal [C22] + Buskap, beholdningsendring (+ = auke) [C23] + Andre inntekter [C24]</t>
        </is>
      </c>
      <c r="F47" s="24" t="inlineStr">
        <is>
          <t>=C21+C22+C23+C24</t>
        </is>
      </c>
    </row>
    <row r="48">
      <c r="A48" s="20" t="inlineStr">
        <is>
          <t>Eigen grovfôr – sum variable kostnader</t>
        </is>
      </c>
      <c r="B48" s="21" t="inlineStr">
        <is>
          <t>Utrekna</t>
        </is>
      </c>
      <c r="C48" s="22">
        <f>C27+C28+C29+C30+C31+C32+C33+C34</f>
        <v/>
      </c>
      <c r="D48" s="12" t="inlineStr">
        <is>
          <t>kr</t>
        </is>
      </c>
      <c r="E48" s="23" t="inlineStr">
        <is>
          <t>Eigen grovfôr – sum variable kostnader = Såfrø / grasfrø [C27] + Plantevernmiddel [C28] + Rundballeplast mm. [C29] + Handelsgjødsel [C30] + Kalk [C31] + Konserveringsmiddel [C32] + Endring anna varelager (variable kostn.) [C33] + Endring eigenprodusert grovfôr (+ = nedgang i lager) [C34]</t>
        </is>
      </c>
      <c r="F48" s="24" t="inlineStr">
        <is>
          <t>=C27+C28+C29+C30+C31+C32+C33+C34</t>
        </is>
      </c>
    </row>
    <row r="49">
      <c r="A49" s="20" t="inlineStr">
        <is>
          <t>Variabel grovfôrkostnad (utan plast og lagerendring eigenprodusert)</t>
        </is>
      </c>
      <c r="B49" s="21" t="inlineStr">
        <is>
          <t>Utrekna</t>
        </is>
      </c>
      <c r="C49" s="22">
        <f>C27+C28+C30+C31+C32+C33</f>
        <v/>
      </c>
      <c r="D49" s="12" t="inlineStr">
        <is>
          <t>kr</t>
        </is>
      </c>
      <c r="E49" s="23" t="inlineStr">
        <is>
          <t>Variabel grovfôrkostnad (utan plast og lagerendring eigenprodusert) = Såfrø / grasfrø [C27] + Plantevernmiddel [C28] + Handelsgjødsel [C30] + Kalk [C31] + Konserveringsmiddel [C32] + Endring anna varelager (variable kostn.) [C33]   (Brukt i «Variabel grovfôrkostnad pr dekar» – same utval som eksempelanalysen)</t>
        </is>
      </c>
      <c r="F49" s="24" t="inlineStr">
        <is>
          <t>=C27+C28+C30+C31+C32+C33</t>
        </is>
      </c>
    </row>
    <row r="50">
      <c r="A50" s="20" t="inlineStr">
        <is>
          <t>Sum eigen grovfôrproduksjon (utan lagerendring)</t>
        </is>
      </c>
      <c r="B50" s="21" t="inlineStr">
        <is>
          <t>Utrekna</t>
        </is>
      </c>
      <c r="C50" s="22">
        <f>C48-C34</f>
        <v/>
      </c>
      <c r="D50" s="12" t="inlineStr">
        <is>
          <t>kr</t>
        </is>
      </c>
      <c r="E50" s="23" t="inlineStr">
        <is>
          <t>Sum eigen grovfôrproduksjon (utan lagerendring) = Eigen grovfôr – sum variable kostnader [C48] − Endring eigenprodusert grovfôr (+ = nedgang i lager) [C34]   (Brukt til å fordele grovfôrarealet mellom produksjonane)</t>
        </is>
      </c>
      <c r="F50" s="24" t="inlineStr">
        <is>
          <t>=C48-C34</t>
        </is>
      </c>
    </row>
    <row r="51">
      <c r="A51" s="20" t="inlineStr">
        <is>
          <t>Grovfôr – kostnad i alt</t>
        </is>
      </c>
      <c r="B51" s="21" t="inlineStr">
        <is>
          <t>Utrekna</t>
        </is>
      </c>
      <c r="C51" s="22">
        <f>C48+C36+C38</f>
        <v/>
      </c>
      <c r="D51" s="12" t="inlineStr">
        <is>
          <t>kr</t>
        </is>
      </c>
      <c r="E51" s="23" t="inlineStr">
        <is>
          <t>Grovfôr – kostnad i alt = Eigen grovfôr – sum variable kostnader [C48] + Kjøp grovfôr [C36] + Endring innkjøpt grovfôrlager [C38]</t>
        </is>
      </c>
      <c r="F51" s="24" t="inlineStr">
        <is>
          <t>=C48+C36+C38</t>
        </is>
      </c>
    </row>
    <row r="52">
      <c r="A52" s="20" t="inlineStr">
        <is>
          <t>Variable kostnader i alt</t>
        </is>
      </c>
      <c r="B52" s="21" t="inlineStr">
        <is>
          <t>Utrekna</t>
        </is>
      </c>
      <c r="C52" s="22">
        <f>C51+C37+C39+C40+C41+C42</f>
        <v/>
      </c>
      <c r="D52" s="12" t="inlineStr">
        <is>
          <t>kr</t>
        </is>
      </c>
      <c r="E52" s="23" t="inlineStr">
        <is>
          <t>Variable kostnader i alt = Grovfôr – kostnad i alt [C51] + Beiteleige / dyr på beite [C37] + Kraftfôr mm. [C39] + Veterinær, medisin, semin mm. [C40] + Innkjøp dyr [C41] + Andre variable kostnader [C42]</t>
        </is>
      </c>
      <c r="F52" s="24" t="inlineStr">
        <is>
          <t>=C51+C37+C39+C40+C41+C42</t>
        </is>
      </c>
    </row>
    <row r="53">
      <c r="A53" s="25" t="inlineStr">
        <is>
          <t>Dekningsbidrag (DB) utan tilskot</t>
        </is>
      </c>
      <c r="B53" s="26" t="inlineStr">
        <is>
          <t>Utrekna</t>
        </is>
      </c>
      <c r="C53" s="27">
        <f>C47-C52</f>
        <v/>
      </c>
      <c r="D53" s="28" t="inlineStr">
        <is>
          <t>kr</t>
        </is>
      </c>
      <c r="E53" s="29" t="inlineStr">
        <is>
          <t>Dekningsbidrag (DB) utan tilskot = Produksjonsinntekter i alt [C47] − Variable kostnader i alt [C52]</t>
        </is>
      </c>
      <c r="F53" s="30" t="inlineStr">
        <is>
          <t>=C47-C52</t>
        </is>
      </c>
    </row>
    <row r="54">
      <c r="A54" s="25" t="inlineStr">
        <is>
          <t>Dekningsbidrag (DB) med tilskot</t>
        </is>
      </c>
      <c r="B54" s="26" t="inlineStr">
        <is>
          <t>Utrekna</t>
        </is>
      </c>
      <c r="C54" s="27">
        <f>C53+C20</f>
        <v/>
      </c>
      <c r="D54" s="28" t="inlineStr">
        <is>
          <t>kr</t>
        </is>
      </c>
      <c r="E54" s="29" t="inlineStr">
        <is>
          <t>Dekningsbidrag (DB) med tilskot = Dekningsbidrag (DB) utan tilskot [C53] + Produksjonstilskot fordelt på produksjonen [C20]</t>
        </is>
      </c>
      <c r="F54" s="30" t="inlineStr">
        <is>
          <t>=C53+C20</t>
        </is>
      </c>
    </row>
    <row r="55">
      <c r="A55" s="20" t="inlineStr">
        <is>
          <t>DB m/tilskot etter maskin- og innandørskostnad</t>
        </is>
      </c>
      <c r="B55" s="21" t="inlineStr">
        <is>
          <t>Utrekna</t>
        </is>
      </c>
      <c r="C55" s="22">
        <f>C54-C44-C45</f>
        <v/>
      </c>
      <c r="D55" s="12" t="inlineStr">
        <is>
          <t>kr</t>
        </is>
      </c>
      <c r="E55" s="23" t="inlineStr">
        <is>
          <t>DB m/tilskot etter maskin- og innandørskostnad = Dekningsbidrag (DB) med tilskot [C54] − Maskinkostnader fordelt [C44] − Innandørsmekanisering fordelt [C45]</t>
        </is>
      </c>
      <c r="F55" s="24" t="inlineStr">
        <is>
          <t>=C54-C44-C45</t>
        </is>
      </c>
    </row>
    <row r="56">
      <c r="A56" s="20" t="inlineStr">
        <is>
          <t>«Kueiningar»</t>
        </is>
      </c>
      <c r="B56" s="21" t="inlineStr">
        <is>
          <t>Utrekna</t>
        </is>
      </c>
      <c r="C56" s="38">
        <f>((C14+C15)/8+(C12+C13)/4)/2</f>
        <v/>
      </c>
      <c r="D56" s="12" t="inlineStr">
        <is>
          <t>stk</t>
        </is>
      </c>
      <c r="E56" s="23" t="inlineStr">
        <is>
          <t>«Kueiningar» = ((Kalvar under 12 md pr 1.1. [C14] + Kalvar under 12 md pr 31.12. [C15]) / 8 + (Ungdyr over 12 md pr 1.1. [C12] + Ungdyr over 12 md pr 31.12. [C13]) / 4) / 2   (Vekting av dyretal (snitt 1.1. og 31.12.) – sjå formel)</t>
        </is>
      </c>
      <c r="F56" s="24" t="inlineStr">
        <is>
          <t>=((C14+C15)/8+(C12+C13)/4)/2</t>
        </is>
      </c>
    </row>
    <row r="57">
      <c r="A57" s="18" t="inlineStr">
        <is>
          <t>5. OUTPUT – Per eining (pr kalv)</t>
        </is>
      </c>
      <c r="B57" s="19" t="n"/>
      <c r="C57" s="19" t="n"/>
      <c r="D57" s="19" t="n"/>
      <c r="E57" s="19" t="n"/>
      <c r="F57" s="19" t="n"/>
    </row>
    <row r="58">
      <c r="A58" s="18" t="inlineStr">
        <is>
          <t>Produksjonsinntekter pr kalv</t>
        </is>
      </c>
      <c r="B58" s="19" t="n"/>
      <c r="C58" s="19" t="n"/>
      <c r="D58" s="19" t="n"/>
      <c r="E58" s="19" t="n"/>
      <c r="F58" s="19" t="n"/>
    </row>
    <row r="59">
      <c r="A59" s="20" t="inlineStr">
        <is>
          <t>Slakt</t>
        </is>
      </c>
      <c r="B59" s="21" t="inlineStr">
        <is>
          <t>Utrekna</t>
        </is>
      </c>
      <c r="C59" s="38">
        <f>IF((C7)=0,0,(C21)/(C7))</f>
        <v/>
      </c>
      <c r="D59" s="12" t="inlineStr">
        <is>
          <t>kr</t>
        </is>
      </c>
      <c r="E59" s="23" t="inlineStr">
        <is>
          <t>Slakt = Slakt [C21] ÷ Tal produserte kalvar [C7]</t>
        </is>
      </c>
      <c r="F59" s="24" t="inlineStr">
        <is>
          <t>=IF((C7)=0,0,(C21)/(C7))</t>
        </is>
      </c>
    </row>
    <row r="60">
      <c r="A60" s="20" t="inlineStr">
        <is>
          <t>Livdyrsal</t>
        </is>
      </c>
      <c r="B60" s="21" t="inlineStr">
        <is>
          <t>Utrekna</t>
        </is>
      </c>
      <c r="C60" s="38">
        <f>IF((C7)=0,0,(C22)/(C7))</f>
        <v/>
      </c>
      <c r="D60" s="12" t="inlineStr">
        <is>
          <t>kr</t>
        </is>
      </c>
      <c r="E60" s="23" t="inlineStr">
        <is>
          <t>Livdyrsal = Livdyrsal [C22] ÷ Tal produserte kalvar [C7]</t>
        </is>
      </c>
      <c r="F60" s="24" t="inlineStr">
        <is>
          <t>=IF((C7)=0,0,(C22)/(C7))</t>
        </is>
      </c>
    </row>
    <row r="61">
      <c r="A61" s="20" t="inlineStr">
        <is>
          <t>Buskap, beholdningsendring (+ = auke)</t>
        </is>
      </c>
      <c r="B61" s="21" t="inlineStr">
        <is>
          <t>Utrekna</t>
        </is>
      </c>
      <c r="C61" s="38">
        <f>IF((C7)=0,0,(C23)/(C7))</f>
        <v/>
      </c>
      <c r="D61" s="12" t="inlineStr">
        <is>
          <t>kr</t>
        </is>
      </c>
      <c r="E61" s="23" t="inlineStr">
        <is>
          <t>Buskap, beholdningsendring (+ = auke) = Buskap, beholdningsendring (+ = auke) [C23] ÷ Tal produserte kalvar [C7]</t>
        </is>
      </c>
      <c r="F61" s="24" t="inlineStr">
        <is>
          <t>=IF((C7)=0,0,(C23)/(C7))</t>
        </is>
      </c>
    </row>
    <row r="62">
      <c r="A62" s="20" t="inlineStr">
        <is>
          <t>Andre inntekter</t>
        </is>
      </c>
      <c r="B62" s="21" t="inlineStr">
        <is>
          <t>Utrekna</t>
        </is>
      </c>
      <c r="C62" s="38">
        <f>IF((C7)=0,0,(C24)/(C7))</f>
        <v/>
      </c>
      <c r="D62" s="12" t="inlineStr">
        <is>
          <t>kr</t>
        </is>
      </c>
      <c r="E62" s="23" t="inlineStr">
        <is>
          <t>Andre inntekter = Andre inntekter [C24] ÷ Tal produserte kalvar [C7]</t>
        </is>
      </c>
      <c r="F62" s="24" t="inlineStr">
        <is>
          <t>=IF((C7)=0,0,(C24)/(C7))</t>
        </is>
      </c>
    </row>
    <row r="63">
      <c r="A63" s="20" t="inlineStr">
        <is>
          <t>Produksjonsinntekter i alt</t>
        </is>
      </c>
      <c r="B63" s="21" t="inlineStr">
        <is>
          <t>Utrekna</t>
        </is>
      </c>
      <c r="C63" s="38">
        <f>IF((C7)=0,0,(C47)/(C7))</f>
        <v/>
      </c>
      <c r="D63" s="12" t="inlineStr">
        <is>
          <t>kr</t>
        </is>
      </c>
      <c r="E63" s="23" t="inlineStr">
        <is>
          <t>Produksjonsinntekter i alt = Produksjonsinntekter i alt [C47] ÷ Tal produserte kalvar [C7]</t>
        </is>
      </c>
      <c r="F63" s="24" t="inlineStr">
        <is>
          <t>=IF((C7)=0,0,(C47)/(C7))</t>
        </is>
      </c>
    </row>
    <row r="64">
      <c r="A64" s="18" t="inlineStr">
        <is>
          <t>Variable kostnader pr kalv</t>
        </is>
      </c>
      <c r="B64" s="19" t="n"/>
      <c r="C64" s="19" t="n"/>
      <c r="D64" s="19" t="n"/>
      <c r="E64" s="19" t="n"/>
      <c r="F64" s="19" t="n"/>
    </row>
    <row r="65">
      <c r="A65" s="20" t="inlineStr">
        <is>
          <t>Eigen grovfôrproduksjon</t>
        </is>
      </c>
      <c r="B65" s="21" t="inlineStr">
        <is>
          <t>Utrekna</t>
        </is>
      </c>
      <c r="C65" s="38">
        <f>IF((C7)=0,0,(C50)/(C7))</f>
        <v/>
      </c>
      <c r="D65" s="12" t="inlineStr">
        <is>
          <t>kr</t>
        </is>
      </c>
      <c r="E65" s="23" t="inlineStr">
        <is>
          <t>Eigen grovfôrproduksjon = Sum eigen grovfôrproduksjon (utan lagerendring) [C50] ÷ Tal produserte kalvar [C7]</t>
        </is>
      </c>
      <c r="F65" s="24" t="inlineStr">
        <is>
          <t>=IF((C7)=0,0,(C50)/(C7))</t>
        </is>
      </c>
    </row>
    <row r="66">
      <c r="A66" s="20" t="inlineStr">
        <is>
          <t>Kjøpt grovfôr</t>
        </is>
      </c>
      <c r="B66" s="21" t="inlineStr">
        <is>
          <t>Utrekna</t>
        </is>
      </c>
      <c r="C66" s="38">
        <f>IF((C7)=0,0,(C36)/(C7))</f>
        <v/>
      </c>
      <c r="D66" s="12" t="inlineStr">
        <is>
          <t>kr</t>
        </is>
      </c>
      <c r="E66" s="23" t="inlineStr">
        <is>
          <t>Kjøpt grovfôr = Kjøp grovfôr [C36] ÷ Tal produserte kalvar [C7]</t>
        </is>
      </c>
      <c r="F66" s="24" t="inlineStr">
        <is>
          <t>=IF((C7)=0,0,(C36)/(C7))</t>
        </is>
      </c>
    </row>
    <row r="67">
      <c r="A67" s="20" t="inlineStr">
        <is>
          <t>Varelager endring grovfôr</t>
        </is>
      </c>
      <c r="B67" s="21" t="inlineStr">
        <is>
          <t>Utrekna</t>
        </is>
      </c>
      <c r="C67" s="38">
        <f>IF((C7)=0,0,(C34+C38)/(C7))</f>
        <v/>
      </c>
      <c r="D67" s="12" t="inlineStr">
        <is>
          <t>kr</t>
        </is>
      </c>
      <c r="E67" s="23" t="inlineStr">
        <is>
          <t>Varelager endring grovfôr = (Endring eigenprodusert grovfôr (+ = nedgang i lager) [C34] + Endring innkjøpt grovfôrlager [C38]) ÷ Tal produserte kalvar [C7]</t>
        </is>
      </c>
      <c r="F67" s="24" t="inlineStr">
        <is>
          <t>=IF((C7)=0,0,(C34+C38)/(C7))</t>
        </is>
      </c>
    </row>
    <row r="68">
      <c r="A68" s="20" t="inlineStr">
        <is>
          <t>Beiteleige</t>
        </is>
      </c>
      <c r="B68" s="21" t="inlineStr">
        <is>
          <t>Utrekna</t>
        </is>
      </c>
      <c r="C68" s="38">
        <f>IF((C7)=0,0,(C37)/(C7))</f>
        <v/>
      </c>
      <c r="D68" s="12" t="inlineStr">
        <is>
          <t>kr</t>
        </is>
      </c>
      <c r="E68" s="23" t="inlineStr">
        <is>
          <t>Beiteleige = Beiteleige / dyr på beite [C37] ÷ Tal produserte kalvar [C7]</t>
        </is>
      </c>
      <c r="F68" s="24" t="inlineStr">
        <is>
          <t>=IF((C7)=0,0,(C37)/(C7))</t>
        </is>
      </c>
    </row>
    <row r="69">
      <c r="A69" s="20" t="inlineStr">
        <is>
          <t>Kraftfôr mm.</t>
        </is>
      </c>
      <c r="B69" s="21" t="inlineStr">
        <is>
          <t>Utrekna</t>
        </is>
      </c>
      <c r="C69" s="38">
        <f>IF((C7)=0,0,(C39)/(C7))</f>
        <v/>
      </c>
      <c r="D69" s="12" t="inlineStr">
        <is>
          <t>kr</t>
        </is>
      </c>
      <c r="E69" s="23" t="inlineStr">
        <is>
          <t>Kraftfôr mm. = Kraftfôr mm. [C39] ÷ Tal produserte kalvar [C7]</t>
        </is>
      </c>
      <c r="F69" s="24" t="inlineStr">
        <is>
          <t>=IF((C7)=0,0,(C39)/(C7))</t>
        </is>
      </c>
    </row>
    <row r="70">
      <c r="A70" s="20" t="inlineStr">
        <is>
          <t>Veterinær, medisin, semin mm.</t>
        </is>
      </c>
      <c r="B70" s="21" t="inlineStr">
        <is>
          <t>Utrekna</t>
        </is>
      </c>
      <c r="C70" s="38">
        <f>IF((C7)=0,0,(C40)/(C7))</f>
        <v/>
      </c>
      <c r="D70" s="12" t="inlineStr">
        <is>
          <t>kr</t>
        </is>
      </c>
      <c r="E70" s="23" t="inlineStr">
        <is>
          <t>Veterinær, medisin, semin mm. = Veterinær, medisin, semin mm. [C40] ÷ Tal produserte kalvar [C7]</t>
        </is>
      </c>
      <c r="F70" s="24" t="inlineStr">
        <is>
          <t>=IF((C7)=0,0,(C40)/(C7))</t>
        </is>
      </c>
    </row>
    <row r="71">
      <c r="A71" s="20" t="inlineStr">
        <is>
          <t>Innkjøp dyr</t>
        </is>
      </c>
      <c r="B71" s="21" t="inlineStr">
        <is>
          <t>Utrekna</t>
        </is>
      </c>
      <c r="C71" s="38">
        <f>IF((C7)=0,0,(C41)/(C7))</f>
        <v/>
      </c>
      <c r="D71" s="12" t="inlineStr">
        <is>
          <t>kr</t>
        </is>
      </c>
      <c r="E71" s="23" t="inlineStr">
        <is>
          <t>Innkjøp dyr = Innkjøp dyr [C41] ÷ Tal produserte kalvar [C7]</t>
        </is>
      </c>
      <c r="F71" s="24" t="inlineStr">
        <is>
          <t>=IF((C7)=0,0,(C41)/(C7))</t>
        </is>
      </c>
    </row>
    <row r="72">
      <c r="A72" s="20" t="inlineStr">
        <is>
          <t>Andre variable kostnader</t>
        </is>
      </c>
      <c r="B72" s="21" t="inlineStr">
        <is>
          <t>Utrekna</t>
        </is>
      </c>
      <c r="C72" s="38">
        <f>IF((C7)=0,0,(C42)/(C7))</f>
        <v/>
      </c>
      <c r="D72" s="12" t="inlineStr">
        <is>
          <t>kr</t>
        </is>
      </c>
      <c r="E72" s="23" t="inlineStr">
        <is>
          <t>Andre variable kostnader = Andre variable kostnader [C42] ÷ Tal produserte kalvar [C7]</t>
        </is>
      </c>
      <c r="F72" s="24" t="inlineStr">
        <is>
          <t>=IF((C7)=0,0,(C42)/(C7))</t>
        </is>
      </c>
    </row>
    <row r="73">
      <c r="A73" s="20" t="inlineStr">
        <is>
          <t>Sum variable kostnader</t>
        </is>
      </c>
      <c r="B73" s="21" t="inlineStr">
        <is>
          <t>Utrekna</t>
        </is>
      </c>
      <c r="C73" s="38">
        <f>IF((C7)=0,0,(C52)/(C7))</f>
        <v/>
      </c>
      <c r="D73" s="12" t="inlineStr">
        <is>
          <t>kr</t>
        </is>
      </c>
      <c r="E73" s="23" t="inlineStr">
        <is>
          <t>Sum variable kostnader = Variable kostnader i alt [C52] ÷ Tal produserte kalvar [C7]</t>
        </is>
      </c>
      <c r="F73" s="24" t="inlineStr">
        <is>
          <t>=IF((C7)=0,0,(C52)/(C7))</t>
        </is>
      </c>
    </row>
    <row r="74">
      <c r="A74" s="18" t="inlineStr">
        <is>
          <t>Resultat pr kalv</t>
        </is>
      </c>
      <c r="B74" s="19" t="n"/>
      <c r="C74" s="19" t="n"/>
      <c r="D74" s="19" t="n"/>
      <c r="E74" s="19" t="n"/>
      <c r="F74" s="19" t="n"/>
    </row>
    <row r="75">
      <c r="A75" s="20" t="inlineStr">
        <is>
          <t>DB utan tilskot</t>
        </is>
      </c>
      <c r="B75" s="21" t="inlineStr">
        <is>
          <t>Utrekna</t>
        </is>
      </c>
      <c r="C75" s="38">
        <f>IF((C7)=0,0,(C53)/(C7))</f>
        <v/>
      </c>
      <c r="D75" s="12" t="inlineStr">
        <is>
          <t>kr</t>
        </is>
      </c>
      <c r="E75" s="23" t="inlineStr">
        <is>
          <t>DB utan tilskot = Dekningsbidrag (DB) utan tilskot [C53] ÷ Tal produserte kalvar [C7]</t>
        </is>
      </c>
      <c r="F75" s="24" t="inlineStr">
        <is>
          <t>=IF((C7)=0,0,(C53)/(C7))</t>
        </is>
      </c>
    </row>
    <row r="76">
      <c r="A76" s="20" t="inlineStr">
        <is>
          <t>Tilskot</t>
        </is>
      </c>
      <c r="B76" s="21" t="inlineStr">
        <is>
          <t>Utrekna</t>
        </is>
      </c>
      <c r="C76" s="38">
        <f>IF((C7)=0,0,(C20)/(C7))</f>
        <v/>
      </c>
      <c r="D76" s="12" t="inlineStr">
        <is>
          <t>kr</t>
        </is>
      </c>
      <c r="E76" s="23" t="inlineStr">
        <is>
          <t>Tilskot = Produksjonstilskot fordelt på produksjonen [C20] ÷ Tal produserte kalvar [C7]</t>
        </is>
      </c>
      <c r="F76" s="24" t="inlineStr">
        <is>
          <t>=IF((C7)=0,0,(C20)/(C7))</t>
        </is>
      </c>
    </row>
    <row r="77">
      <c r="A77" s="20" t="inlineStr">
        <is>
          <t>DB med tilskot</t>
        </is>
      </c>
      <c r="B77" s="21" t="inlineStr">
        <is>
          <t>Utrekna</t>
        </is>
      </c>
      <c r="C77" s="38">
        <f>IF((C7)=0,0,(C54)/(C7))</f>
        <v/>
      </c>
      <c r="D77" s="12" t="inlineStr">
        <is>
          <t>kr</t>
        </is>
      </c>
      <c r="E77" s="23" t="inlineStr">
        <is>
          <t>DB med tilskot = Dekningsbidrag (DB) med tilskot [C54] ÷ Tal produserte kalvar [C7]</t>
        </is>
      </c>
      <c r="F77" s="24" t="inlineStr">
        <is>
          <t>=IF((C7)=0,0,(C54)/(C7))</t>
        </is>
      </c>
    </row>
    <row r="78">
      <c r="A78" s="20" t="inlineStr">
        <is>
          <t>Maskinkostnader</t>
        </is>
      </c>
      <c r="B78" s="21" t="inlineStr">
        <is>
          <t>Utrekna</t>
        </is>
      </c>
      <c r="C78" s="38">
        <f>IF((C7)=0,0,(C44)/(C7))</f>
        <v/>
      </c>
      <c r="D78" s="12" t="inlineStr">
        <is>
          <t>kr</t>
        </is>
      </c>
      <c r="E78" s="23" t="inlineStr">
        <is>
          <t>Maskinkostnader = Maskinkostnader fordelt [C44] ÷ Tal produserte kalvar [C7]</t>
        </is>
      </c>
      <c r="F78" s="24" t="inlineStr">
        <is>
          <t>=IF((C7)=0,0,(C44)/(C7))</t>
        </is>
      </c>
    </row>
    <row r="79">
      <c r="A79" s="20" t="inlineStr">
        <is>
          <t>Innandørsmekanisering</t>
        </is>
      </c>
      <c r="B79" s="21" t="inlineStr">
        <is>
          <t>Utrekna</t>
        </is>
      </c>
      <c r="C79" s="38">
        <f>IF((C7)=0,0,(C45)/(C7))</f>
        <v/>
      </c>
      <c r="D79" s="12" t="inlineStr">
        <is>
          <t>kr</t>
        </is>
      </c>
      <c r="E79" s="23" t="inlineStr">
        <is>
          <t>Innandørsmekanisering = Innandørsmekanisering fordelt [C45] ÷ Tal produserte kalvar [C7]</t>
        </is>
      </c>
      <c r="F79" s="24" t="inlineStr">
        <is>
          <t>=IF((C7)=0,0,(C45)/(C7))</t>
        </is>
      </c>
    </row>
    <row r="80">
      <c r="A80" s="20" t="inlineStr">
        <is>
          <t>DB m/tilskot etter maskin og innandørsmek.</t>
        </is>
      </c>
      <c r="B80" s="21" t="inlineStr">
        <is>
          <t>Utrekna</t>
        </is>
      </c>
      <c r="C80" s="38">
        <f>IF((C7)=0,0,(C55)/(C7))</f>
        <v/>
      </c>
      <c r="D80" s="12" t="inlineStr">
        <is>
          <t>kr</t>
        </is>
      </c>
      <c r="E80" s="23" t="inlineStr">
        <is>
          <t>DB m/tilskot etter maskin og innandørsmek. = DB m/tilskot etter maskin- og innandørskostnad [C55] ÷ Tal produserte kalvar [C7]</t>
        </is>
      </c>
      <c r="F80" s="24" t="inlineStr">
        <is>
          <t>=IF((C7)=0,0,(C55)/(C7))</t>
        </is>
      </c>
    </row>
    <row r="81">
      <c r="A81" s="18" t="inlineStr">
        <is>
          <t>6. OUTPUT – Nøkkeltal</t>
        </is>
      </c>
      <c r="B81" s="19" t="n"/>
      <c r="C81" s="19" t="n"/>
      <c r="D81" s="19" t="n"/>
      <c r="E81" s="19" t="n"/>
      <c r="F81" s="19" t="n"/>
    </row>
    <row r="82">
      <c r="A82" s="25" t="inlineStr">
        <is>
          <t>DB pr kalv u/tilskot</t>
        </is>
      </c>
      <c r="B82" s="26" t="inlineStr">
        <is>
          <t>Utrekna</t>
        </is>
      </c>
      <c r="C82" s="39">
        <f>IF((C7)=0,0,(C53)/(C7))</f>
        <v/>
      </c>
      <c r="D82" s="28" t="inlineStr">
        <is>
          <t>kr</t>
        </is>
      </c>
      <c r="E82" s="29" t="inlineStr">
        <is>
          <t>DB pr kalv u/tilskot = Dekningsbidrag (DB) utan tilskot [C53] ÷ Tal produserte kalvar [C7]</t>
        </is>
      </c>
      <c r="F82" s="30" t="inlineStr">
        <is>
          <t>=IF((C7)=0,0,(C53)/(C7))</t>
        </is>
      </c>
    </row>
    <row r="83">
      <c r="A83" s="25" t="inlineStr">
        <is>
          <t>DB pr kalv m/tilskot</t>
        </is>
      </c>
      <c r="B83" s="26" t="inlineStr">
        <is>
          <t>Utrekna</t>
        </is>
      </c>
      <c r="C83" s="39">
        <f>IF((C7)=0,0,(C54)/(C7))</f>
        <v/>
      </c>
      <c r="D83" s="28" t="inlineStr">
        <is>
          <t>kr</t>
        </is>
      </c>
      <c r="E83" s="29" t="inlineStr">
        <is>
          <t>DB pr kalv m/tilskot = Dekningsbidrag (DB) med tilskot [C54] ÷ Tal produserte kalvar [C7]</t>
        </is>
      </c>
      <c r="F83" s="30" t="inlineStr">
        <is>
          <t>=IF((C7)=0,0,(C54)/(C7))</t>
        </is>
      </c>
    </row>
    <row r="84">
      <c r="A84" s="25" t="inlineStr">
        <is>
          <t>DB pr dekar grovfôr u/tilskot</t>
        </is>
      </c>
      <c r="B84" s="26" t="inlineStr">
        <is>
          <t>Utrekna</t>
        </is>
      </c>
      <c r="C84" s="39">
        <f>IF(('Grovfôr'!C21*IF(('Grovfôr'!C38)=0,0,(C50)/('Grovfôr'!C38)))=0,0,(C53)/('Grovfôr'!C21*IF(('Grovfôr'!C38)=0,0,(C50)/('Grovfôr'!C38))))</f>
        <v/>
      </c>
      <c r="D84" s="28" t="inlineStr">
        <is>
          <t>kr</t>
        </is>
      </c>
      <c r="E84" s="29" t="inlineStr">
        <is>
          <t>DB pr dekar grovfôr u/tilskot = Dekningsbidrag (DB) utan tilskot [C53] ÷ (Korrigert grovfôrareal (overflate/1,25 + fulldyrka + kulturbeite/2,5) [Grovfôr!C21] × Sum eigen grovfôrproduksjon (utan lagerendring) [C50] ÷ Sum eigen grovfôrkostnad (fordelingsnøkkel areal) [Grovfôr!C38])   (Grovfôrarealet blir fordelt etter produksjonen sin del av eigen grovfôrkostnad)</t>
        </is>
      </c>
      <c r="F84" s="30" t="inlineStr">
        <is>
          <t>=IF(('Grovfôr'!C21*IF(('Grovfôr'!C38)=0,0,(C50)/('Grovfôr'!C38)))=0,0,(C53)/('Grovfôr'!C21*IF(('Grovfôr'!C38)=0,0,(C50)/('Grovfôr'!C38))))</t>
        </is>
      </c>
    </row>
    <row r="85">
      <c r="A85" s="25" t="inlineStr">
        <is>
          <t>DB pr dekar grovfôr m/tilskot</t>
        </is>
      </c>
      <c r="B85" s="26" t="inlineStr">
        <is>
          <t>Utrekna</t>
        </is>
      </c>
      <c r="C85" s="39">
        <f>IF(('Grovfôr'!C21*IF(('Grovfôr'!C38)=0,0,(C50)/('Grovfôr'!C38)))=0,0,(C54)/('Grovfôr'!C21*IF(('Grovfôr'!C38)=0,0,(C50)/('Grovfôr'!C38))))</f>
        <v/>
      </c>
      <c r="D85" s="28" t="inlineStr">
        <is>
          <t>kr</t>
        </is>
      </c>
      <c r="E85" s="29" t="inlineStr">
        <is>
          <t>DB pr dekar grovfôr m/tilskot = Dekningsbidrag (DB) med tilskot [C54] ÷ (Korrigert grovfôrareal (overflate/1,25 + fulldyrka + kulturbeite/2,5) [Grovfôr!C21] × Sum eigen grovfôrproduksjon (utan lagerendring) [C50] ÷ Sum eigen grovfôrkostnad (fordelingsnøkkel areal) [Grovfôr!C38])</t>
        </is>
      </c>
      <c r="F85" s="30" t="inlineStr">
        <is>
          <t>=IF(('Grovfôr'!C21*IF(('Grovfôr'!C38)=0,0,(C50)/('Grovfôr'!C38)))=0,0,(C54)/('Grovfôr'!C21*IF(('Grovfôr'!C38)=0,0,(C50)/('Grovfôr'!C38))))</t>
        </is>
      </c>
    </row>
    <row r="86">
      <c r="A86" s="25" t="inlineStr">
        <is>
          <t>Variabel grovfôrkostnad pr dekar</t>
        </is>
      </c>
      <c r="B86" s="26" t="inlineStr">
        <is>
          <t>Lenkje frå anna ark</t>
        </is>
      </c>
      <c r="C86" s="40">
        <f>'Grovfôr'!C52</f>
        <v/>
      </c>
      <c r="D86" s="28" t="inlineStr">
        <is>
          <t>kr</t>
        </is>
      </c>
      <c r="E86" s="29" t="inlineStr">
        <is>
          <t>Variabel grovfôrkostnad pr dekar = Variabel grovfôrkostnad pr korrigert dekar [Grovfôr!C52]</t>
        </is>
      </c>
      <c r="F86" s="30" t="inlineStr">
        <is>
          <t>='Grovfôr'!C52</t>
        </is>
      </c>
    </row>
    <row r="87">
      <c r="A87" s="25" t="inlineStr">
        <is>
          <t>Maskinkostnader pr dekar grovfôr</t>
        </is>
      </c>
      <c r="B87" s="26" t="inlineStr">
        <is>
          <t>Lenkje frå anna ark</t>
        </is>
      </c>
      <c r="C87" s="40">
        <f>'Grovfôr'!C53</f>
        <v/>
      </c>
      <c r="D87" s="28" t="inlineStr">
        <is>
          <t>kr</t>
        </is>
      </c>
      <c r="E87" s="29" t="inlineStr">
        <is>
          <t>Maskinkostnader pr dekar grovfôr = Maskinkostnader pr dekar grovfôr [Grovfôr!C53]</t>
        </is>
      </c>
      <c r="F87" s="30" t="inlineStr">
        <is>
          <t>='Grovfôr'!C53</t>
        </is>
      </c>
    </row>
    <row r="88">
      <c r="A88" s="25" t="inlineStr">
        <is>
          <t>Korrigerte dekar pr «kueining»</t>
        </is>
      </c>
      <c r="B88" s="26" t="inlineStr">
        <is>
          <t>Lenkje frå anna ark</t>
        </is>
      </c>
      <c r="C88" s="40">
        <f>'Grovfôr'!C54</f>
        <v/>
      </c>
      <c r="D88" s="28" t="inlineStr">
        <is>
          <t>da</t>
        </is>
      </c>
      <c r="E88" s="29" t="inlineStr">
        <is>
          <t>Korrigerte dekar pr «kueining» = Korrigerte dekar pr «kueining» [Grovfôr!C54]</t>
        </is>
      </c>
      <c r="F88" s="30" t="inlineStr">
        <is>
          <t>='Grovfôr'!C54</t>
        </is>
      </c>
    </row>
    <row r="89">
      <c r="A89" s="25" t="inlineStr">
        <is>
          <t>Snitt slaktepris pr kalv (u/distriktstilskot)</t>
        </is>
      </c>
      <c r="B89" s="26" t="inlineStr">
        <is>
          <t>Utrekna</t>
        </is>
      </c>
      <c r="C89" s="39">
        <f>IF((C9)=0,0,(C21-C25)/(C9))</f>
        <v/>
      </c>
      <c r="D89" s="28" t="inlineStr">
        <is>
          <t>kr</t>
        </is>
      </c>
      <c r="E89" s="29" t="inlineStr">
        <is>
          <t>Snitt slaktepris pr kalv (u/distriktstilskot) = (Slakt [C21] − Herav distriktstilskot kjøt [C25]) ÷ Tal slakta kalvar [C9]</t>
        </is>
      </c>
      <c r="F89" s="30" t="inlineStr">
        <is>
          <t>=IF((C9)=0,0,(C21-C25)/(C9))</t>
        </is>
      </c>
    </row>
    <row r="90">
      <c r="A90" s="25" t="inlineStr">
        <is>
          <t>Snitt kjøpspris pr kalv</t>
        </is>
      </c>
      <c r="B90" s="26" t="inlineStr">
        <is>
          <t>Utrekna</t>
        </is>
      </c>
      <c r="C90" s="39">
        <f>IF((C11)=0,0,(C41)/(C11))</f>
        <v/>
      </c>
      <c r="D90" s="28" t="inlineStr">
        <is>
          <t>kr</t>
        </is>
      </c>
      <c r="E90" s="29" t="inlineStr">
        <is>
          <t>Snitt kjøpspris pr kalv = Innkjøp dyr [C41] ÷ Tal kjøpte kalvar [C11]</t>
        </is>
      </c>
      <c r="F90" s="30" t="inlineStr">
        <is>
          <t>=IF((C11)=0,0,(C41)/(C11))</t>
        </is>
      </c>
    </row>
    <row r="91">
      <c r="A91" s="25" t="inlineStr">
        <is>
          <t>Slaktepris – kjøpspris pr kalv</t>
        </is>
      </c>
      <c r="B91" s="26" t="inlineStr">
        <is>
          <t>Utrekna</t>
        </is>
      </c>
      <c r="C91" s="39">
        <f>IF((C9)=0,0,(C21)/(C9))-IF((C11)=0,0,(C41)/(C11))</f>
        <v/>
      </c>
      <c r="D91" s="28" t="inlineStr">
        <is>
          <t>kr</t>
        </is>
      </c>
      <c r="E91" s="29" t="inlineStr">
        <is>
          <t>Slaktepris – kjøpspris pr kalv = Slakt [C21] ÷ Tal slakta kalvar [C9] − Innkjøp dyr [C41] ÷ Tal kjøpte kalvar [C11]</t>
        </is>
      </c>
      <c r="F91" s="30" t="inlineStr">
        <is>
          <t>=IF((C9)=0,0,(C21)/(C9))-IF((C11)=0,0,(C41)/(C11))</t>
        </is>
      </c>
    </row>
    <row r="92">
      <c r="A92" s="25" t="inlineStr">
        <is>
          <t>Oppnådd pris pr kg slakt (u/distriktstilskot)</t>
        </is>
      </c>
      <c r="B92" s="26" t="inlineStr">
        <is>
          <t>Utrekna</t>
        </is>
      </c>
      <c r="C92" s="39">
        <f>IF((C8)=0,0,(C21-C25)/(C8))</f>
        <v/>
      </c>
      <c r="D92" s="28" t="inlineStr">
        <is>
          <t>kr</t>
        </is>
      </c>
      <c r="E92" s="29" t="inlineStr">
        <is>
          <t>Oppnådd pris pr kg slakt (u/distriktstilskot) = (Slakt [C21] − Herav distriktstilskot kjøt [C25]) ÷ Kg slakt [C8]</t>
        </is>
      </c>
      <c r="F92" s="30" t="inlineStr">
        <is>
          <t>=IF((C8)=0,0,(C21-C25)/(C8))</t>
        </is>
      </c>
    </row>
    <row r="93">
      <c r="A93" s="25" t="inlineStr">
        <is>
          <t>Slaktevekt pr kalv (kg)</t>
        </is>
      </c>
      <c r="B93" s="26" t="inlineStr">
        <is>
          <t>Utrekna</t>
        </is>
      </c>
      <c r="C93" s="37">
        <f>IF((C9)=0,0,(C8)/(C9))</f>
        <v/>
      </c>
      <c r="D93" s="28" t="inlineStr">
        <is>
          <t>kg</t>
        </is>
      </c>
      <c r="E93" s="29" t="inlineStr">
        <is>
          <t>Slaktevekt pr kalv (kg) = Kg slakt [C8] ÷ Tal slakta kalvar [C9]</t>
        </is>
      </c>
      <c r="F93" s="30" t="inlineStr">
        <is>
          <t>=IF((C9)=0,0,(C8)/(C9))</t>
        </is>
      </c>
    </row>
    <row r="94">
      <c r="A94" s="25" t="inlineStr">
        <is>
          <t>Innandørsmekanisering pr kalv</t>
        </is>
      </c>
      <c r="B94" s="26" t="inlineStr">
        <is>
          <t>Utrekna</t>
        </is>
      </c>
      <c r="C94" s="39">
        <f>IF((C7)=0,0,(C45)/(C7))</f>
        <v/>
      </c>
      <c r="D94" s="28" t="inlineStr">
        <is>
          <t>kr</t>
        </is>
      </c>
      <c r="E94" s="29" t="inlineStr">
        <is>
          <t>Innandørsmekanisering pr kalv = Innandørsmekanisering fordelt [C45] ÷ Tal produserte kalvar [C7]</t>
        </is>
      </c>
      <c r="F94" s="30" t="inlineStr">
        <is>
          <t>=IF((C7)=0,0,(C45)/(C7))</t>
        </is>
      </c>
    </row>
    <row r="95">
      <c r="A95" s="25" t="inlineStr">
        <is>
          <t>Tapsprosent</t>
        </is>
      </c>
      <c r="B95" s="26" t="inlineStr">
        <is>
          <t>Utrekna</t>
        </is>
      </c>
      <c r="C95" s="33">
        <f>MAX(0,IF((C12+C14+C11)=0,0,((C12+C14+C11)-(C13+C15+C9+C10))/(C12+C14+C11)))</f>
        <v/>
      </c>
      <c r="D95" s="28" t="inlineStr">
        <is>
          <t>%</t>
        </is>
      </c>
      <c r="E95" s="29" t="inlineStr">
        <is>
          <t>Tapsprosent = MAKS(0; ((Ungdyr over 12 md pr 1.1. [C12] + Kalvar under 12 md pr 1.1. [C14] + Tal kjøpte kalvar [C11]) − (Ungdyr over 12 md pr 31.12. [C13] + Kalvar under 12 md pr 31.12. [C15] + Tal slakta kalvar [C9] + Tal selt til liv [C10])) ÷ (Ungdyr over 12 md pr 1.1. [C12] + Kalvar under 12 md pr 1.1. [C14] + Tal kjøpte kalvar [C11]))</t>
        </is>
      </c>
      <c r="F95" s="30" t="inlineStr">
        <is>
          <t>=MAX(0,IF((C12+C14+C11)=0,0,((C12+C14+C11)-(C13+C15+C9+C10))/(C12+C14+C11)))</t>
        </is>
      </c>
    </row>
  </sheetData>
  <pageMargins left="0.75" right="0.75" top="1" bottom="1" header="0.5" footer="0.5"/>
  <pageSetup orientation="landscape" fitToHeight="0" fitToWidth="1"/>
</worksheet>
</file>

<file path=xl/worksheets/sheet18.xml><?xml version="1.0" encoding="utf-8"?>
<worksheet xmlns="http://schemas.openxmlformats.org/spreadsheetml/2006/main">
  <sheetPr>
    <outlinePr summaryBelow="1" summaryRight="1"/>
    <pageSetUpPr fitToPage="1"/>
  </sheetPr>
  <dimension ref="A1:F100"/>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0" customWidth="1" min="1" max="1"/>
    <col width="34" customWidth="1" min="2" max="2"/>
    <col width="16" customWidth="1" min="3" max="3"/>
    <col width="10" customWidth="1" min="4" max="4"/>
    <col width="78" customWidth="1" min="5" max="5"/>
    <col width="46" customWidth="1" min="6" max="6"/>
  </cols>
  <sheetData>
    <row r="1" ht="22" customHeight="1">
      <c r="A1" s="1" t="inlineStr">
        <is>
          <t>Ammekuproduksjon  –  driftsgrein 6130-6132</t>
        </is>
      </c>
    </row>
    <row r="2">
      <c r="A2" s="7" t="inlineStr">
        <is>
          <t>Ammeku med kalv (driftsgrein 6130–6132). Eksempeltal frå vedlagt analyse 2025.</t>
        </is>
      </c>
    </row>
    <row r="3">
      <c r="A3" s="8" t="inlineStr">
        <is>
          <t>Fargekodar:  blå tal på gul botn = input (skal fyllast inn)   ·   svart = formel   ·   grøn = lenkje frå anna ark.   Alle kronebeløp er positive (inntekt og kostnad).</t>
        </is>
      </c>
    </row>
    <row r="5">
      <c r="A5" s="17" t="inlineStr">
        <is>
          <t>Post</t>
        </is>
      </c>
      <c r="B5" s="17" t="inlineStr">
        <is>
          <t>Kjelde / Tripletex-konto</t>
        </is>
      </c>
      <c r="C5" s="17" t="inlineStr">
        <is>
          <t>Verdi</t>
        </is>
      </c>
      <c r="D5" s="17" t="inlineStr">
        <is>
          <t>Eining</t>
        </is>
      </c>
      <c r="E5" s="17" t="inlineStr">
        <is>
          <t>Formel forklart (korleis outputen blir rekna)</t>
        </is>
      </c>
      <c r="F5" s="17" t="inlineStr">
        <is>
          <t>Excel-formel</t>
        </is>
      </c>
    </row>
    <row r="6">
      <c r="A6" s="18" t="inlineStr">
        <is>
          <t>1. INPUT – Produksjonsdata (frå produksjonstabell / teljingar)</t>
        </is>
      </c>
      <c r="B6" s="19" t="n"/>
      <c r="C6" s="19" t="n"/>
      <c r="D6" s="19" t="n"/>
      <c r="E6" s="19" t="n"/>
      <c r="F6" s="19" t="n"/>
    </row>
    <row r="7">
      <c r="A7" s="20" t="inlineStr">
        <is>
          <t>Tal ammekyr</t>
        </is>
      </c>
      <c r="B7" s="24" t="inlineStr">
        <is>
          <t>Produksjonstabell (EnhetAntall)</t>
        </is>
      </c>
      <c r="C7" s="31" t="n">
        <v>16</v>
      </c>
      <c r="D7" s="12" t="inlineStr">
        <is>
          <t>stk</t>
        </is>
      </c>
      <c r="E7" s="24" t="inlineStr">
        <is>
          <t>Input. Hentast frå: Produksjonstabell (EnhetAntall).</t>
        </is>
      </c>
      <c r="F7" s="32" t="n"/>
    </row>
    <row r="8">
      <c r="A8" s="20" t="inlineStr">
        <is>
          <t>Ammekyr pr 1.1.</t>
        </is>
      </c>
      <c r="B8" s="24" t="inlineStr">
        <is>
          <t>1452.20.521/522 (IB)</t>
        </is>
      </c>
      <c r="C8" s="31" t="n">
        <v>11</v>
      </c>
      <c r="D8" s="12" t="inlineStr">
        <is>
          <t>stk</t>
        </is>
      </c>
      <c r="E8" s="24" t="inlineStr">
        <is>
          <t>Input. Hentast frå: 1452.20.521/522 (IB).</t>
        </is>
      </c>
      <c r="F8" s="32" t="n"/>
    </row>
    <row r="9">
      <c r="A9" s="20" t="inlineStr">
        <is>
          <t>Ammekyr pr 31.12.</t>
        </is>
      </c>
      <c r="B9" s="24" t="inlineStr">
        <is>
          <t>1452.20.521/522 (UB)</t>
        </is>
      </c>
      <c r="C9" s="31" t="n">
        <v>17</v>
      </c>
      <c r="D9" s="12" t="inlineStr">
        <is>
          <t>stk</t>
        </is>
      </c>
      <c r="E9" s="24" t="inlineStr">
        <is>
          <t>Input. Hentast frå: 1452.20.521/522 (UB).</t>
        </is>
      </c>
      <c r="F9" s="32" t="n"/>
    </row>
    <row r="10">
      <c r="A10" s="20" t="inlineStr">
        <is>
          <t>Avlsokse pr 1.1.</t>
        </is>
      </c>
      <c r="B10" s="24" t="inlineStr">
        <is>
          <t>1452.20.526 (IB)</t>
        </is>
      </c>
      <c r="C10" s="31" t="n">
        <v>0</v>
      </c>
      <c r="D10" s="12" t="inlineStr">
        <is>
          <t>stk</t>
        </is>
      </c>
      <c r="E10" s="24" t="inlineStr">
        <is>
          <t>Input. Hentast frå: 1452.20.526 (IB).</t>
        </is>
      </c>
      <c r="F10" s="32" t="n"/>
    </row>
    <row r="11">
      <c r="A11" s="20" t="inlineStr">
        <is>
          <t>Avlsokse pr 31.12.</t>
        </is>
      </c>
      <c r="B11" s="24" t="inlineStr">
        <is>
          <t>1452.20.526 (UB)</t>
        </is>
      </c>
      <c r="C11" s="31" t="n">
        <v>0</v>
      </c>
      <c r="D11" s="12" t="inlineStr">
        <is>
          <t>stk</t>
        </is>
      </c>
      <c r="E11" s="24" t="inlineStr">
        <is>
          <t>Input. Hentast frå: 1452.20.526 (UB).</t>
        </is>
      </c>
      <c r="F11" s="32" t="n"/>
    </row>
    <row r="12">
      <c r="A12" s="20" t="inlineStr">
        <is>
          <t>Ungdyr over 12 md pr 1.1.</t>
        </is>
      </c>
      <c r="B12" s="24" t="inlineStr">
        <is>
          <t>1451.20.514/516 (IB)</t>
        </is>
      </c>
      <c r="C12" s="31" t="n">
        <v>9</v>
      </c>
      <c r="D12" s="12" t="inlineStr">
        <is>
          <t>stk</t>
        </is>
      </c>
      <c r="E12" s="24" t="inlineStr">
        <is>
          <t>Input. Hentast frå: 1451.20.514/516 (IB).</t>
        </is>
      </c>
      <c r="F12" s="32" t="n"/>
    </row>
    <row r="13">
      <c r="A13" s="20" t="inlineStr">
        <is>
          <t>Ungdyr over 12 md pr 31.12.</t>
        </is>
      </c>
      <c r="B13" s="24" t="inlineStr">
        <is>
          <t>1451.20.514/516 (UB)</t>
        </is>
      </c>
      <c r="C13" s="31" t="n">
        <v>5</v>
      </c>
      <c r="D13" s="12" t="inlineStr">
        <is>
          <t>stk</t>
        </is>
      </c>
      <c r="E13" s="24" t="inlineStr">
        <is>
          <t>Input. Hentast frå: 1451.20.514/516 (UB).</t>
        </is>
      </c>
      <c r="F13" s="32" t="n"/>
    </row>
    <row r="14">
      <c r="A14" s="20" t="inlineStr">
        <is>
          <t>Kalvar/ungdyr under 12 md pr 1.1.</t>
        </is>
      </c>
      <c r="B14" s="24" t="inlineStr">
        <is>
          <t>1451.20.515/517 (IB)</t>
        </is>
      </c>
      <c r="C14" s="31" t="n">
        <v>10</v>
      </c>
      <c r="D14" s="12" t="inlineStr">
        <is>
          <t>stk</t>
        </is>
      </c>
      <c r="E14" s="24" t="inlineStr">
        <is>
          <t>Input. Hentast frå: 1451.20.515/517 (IB).</t>
        </is>
      </c>
      <c r="F14" s="32" t="n"/>
    </row>
    <row r="15">
      <c r="A15" s="20" t="inlineStr">
        <is>
          <t>Kalvar/ungdyr under 12 md pr 31.12.</t>
        </is>
      </c>
      <c r="B15" s="24" t="inlineStr">
        <is>
          <t>1451.20.515/517 (UB)</t>
        </is>
      </c>
      <c r="C15" s="31" t="n">
        <v>12</v>
      </c>
      <c r="D15" s="12" t="inlineStr">
        <is>
          <t>stk</t>
        </is>
      </c>
      <c r="E15" s="24" t="inlineStr">
        <is>
          <t>Input. Hentast frå: 1451.20.515/517 (UB).</t>
        </is>
      </c>
      <c r="F15" s="32" t="n"/>
    </row>
    <row r="16">
      <c r="A16" s="20" t="inlineStr">
        <is>
          <t>Kg slakt kyr</t>
        </is>
      </c>
      <c r="B16" s="24" t="inlineStr">
        <is>
          <t>Mengde 2 på 3042 (.521/.522)</t>
        </is>
      </c>
      <c r="C16" s="31" t="n">
        <v>1123.3</v>
      </c>
      <c r="D16" s="12" t="inlineStr">
        <is>
          <t>kg</t>
        </is>
      </c>
      <c r="E16" s="24" t="inlineStr">
        <is>
          <t>Input. Hentast frå: Mengde 2 på 3042 (.521/.522).</t>
        </is>
      </c>
      <c r="F16" s="32" t="n"/>
    </row>
    <row r="17">
      <c r="A17" s="20" t="inlineStr">
        <is>
          <t>Tal slakta kyr</t>
        </is>
      </c>
      <c r="B17" s="24" t="inlineStr">
        <is>
          <t>Mengde 1 på 3042 (.521/.522)</t>
        </is>
      </c>
      <c r="C17" s="31" t="n">
        <v>3</v>
      </c>
      <c r="D17" s="12" t="inlineStr">
        <is>
          <t>stk</t>
        </is>
      </c>
      <c r="E17" s="24" t="inlineStr">
        <is>
          <t>Input. Hentast frå: Mengde 1 på 3042 (.521/.522).</t>
        </is>
      </c>
      <c r="F17" s="32" t="n"/>
    </row>
    <row r="18">
      <c r="A18" s="20" t="inlineStr">
        <is>
          <t>Kg slakt totalt</t>
        </is>
      </c>
      <c r="B18" s="24" t="inlineStr">
        <is>
          <t>Mengde 2 på 3041/3042</t>
        </is>
      </c>
      <c r="C18" s="31" t="n">
        <v>1744.4</v>
      </c>
      <c r="D18" s="12" t="inlineStr">
        <is>
          <t>kg</t>
        </is>
      </c>
      <c r="E18" s="24" t="inlineStr">
        <is>
          <t>Input. Hentast frå: Mengde 2 på 3041/3042.</t>
        </is>
      </c>
      <c r="F18" s="32" t="n"/>
    </row>
    <row r="19">
      <c r="A19" s="20" t="inlineStr">
        <is>
          <t>Tal dyr slakta / selt til liv</t>
        </is>
      </c>
      <c r="B19" s="24" t="inlineStr">
        <is>
          <t>Mengde 1 på 3041/3042/3051/3052</t>
        </is>
      </c>
      <c r="C19" s="31" t="n">
        <v>10</v>
      </c>
      <c r="D19" s="12" t="inlineStr">
        <is>
          <t>stk</t>
        </is>
      </c>
      <c r="E19" s="24" t="inlineStr">
        <is>
          <t>Input. Hentast frå: Mengde 1 på 3041/3042/3051/3052.</t>
        </is>
      </c>
      <c r="F19" s="32" t="n"/>
    </row>
    <row r="20">
      <c r="A20" s="20" t="inlineStr">
        <is>
          <t>Tal kjøpte dyr</t>
        </is>
      </c>
      <c r="B20" s="24" t="inlineStr">
        <is>
          <t>Mengde 1 på 4610/4620</t>
        </is>
      </c>
      <c r="C20" s="31" t="n">
        <v>2</v>
      </c>
      <c r="D20" s="12" t="inlineStr">
        <is>
          <t>stk</t>
        </is>
      </c>
      <c r="E20" s="24" t="inlineStr">
        <is>
          <t>Input. Hentast frå: Mengde 1 på 4610/4620.</t>
        </is>
      </c>
      <c r="F20" s="32" t="n"/>
    </row>
    <row r="21">
      <c r="A21" s="20" t="inlineStr">
        <is>
          <t>Fôrnorm beite (FEm)</t>
        </is>
      </c>
      <c r="B21" s="24" t="inlineStr">
        <is>
          <t>Fôrnorm pr ammeku og år (jf. marginalanalysen). Brukt til arealbehov og fordelingsnøklar</t>
        </is>
      </c>
      <c r="C21" s="31" t="n">
        <v>2013</v>
      </c>
      <c r="D21" s="12" t="inlineStr">
        <is>
          <t>FEm</t>
        </is>
      </c>
      <c r="E21" s="24" t="inlineStr">
        <is>
          <t>Input. Hentast frå: Fôrnorm pr ammeku og år (jf. marginalanalysen). Brukt til arealbehov og fordelingsnøklar.</t>
        </is>
      </c>
      <c r="F21" s="32" t="n"/>
    </row>
    <row r="22">
      <c r="A22" s="20" t="inlineStr">
        <is>
          <t>Fôrnorm eige grovfôr vinter (FEm)</t>
        </is>
      </c>
      <c r="B22" s="24" t="inlineStr">
        <is>
          <t>Fôrnorm pr ammeku og år (jf. marginalanalysen). Brukt til arealbehov og fordelingsnøklar</t>
        </is>
      </c>
      <c r="C22" s="31" t="n">
        <v>2468</v>
      </c>
      <c r="D22" s="12" t="inlineStr">
        <is>
          <t>FEm</t>
        </is>
      </c>
      <c r="E22" s="24" t="inlineStr">
        <is>
          <t>Input. Hentast frå: Fôrnorm pr ammeku og år (jf. marginalanalysen). Brukt til arealbehov og fordelingsnøklar.</t>
        </is>
      </c>
      <c r="F22" s="32" t="n"/>
    </row>
    <row r="23">
      <c r="A23" s="20" t="inlineStr">
        <is>
          <t>Fôrnorm kraftfôr (FEm)</t>
        </is>
      </c>
      <c r="B23" s="24" t="inlineStr">
        <is>
          <t>Fôrnorm pr ammeku og år (jf. marginalanalysen). Brukt til arealbehov og fordelingsnøklar</t>
        </is>
      </c>
      <c r="C23" s="31" t="n">
        <v>605</v>
      </c>
      <c r="D23" s="12" t="inlineStr">
        <is>
          <t>FEm</t>
        </is>
      </c>
      <c r="E23" s="24" t="inlineStr">
        <is>
          <t>Input. Hentast frå: Fôrnorm pr ammeku og år (jf. marginalanalysen). Brukt til arealbehov og fordelingsnøklar.</t>
        </is>
      </c>
      <c r="F23" s="32" t="n"/>
    </row>
    <row r="24">
      <c r="A24" s="18" t="inlineStr">
        <is>
          <t>2. INPUT – Rekneskapstal (kr) frå saldobalansen etter korrigeringar</t>
        </is>
      </c>
      <c r="B24" s="19" t="n"/>
      <c r="C24" s="19" t="n"/>
      <c r="D24" s="19" t="n"/>
      <c r="E24" s="19" t="n"/>
      <c r="F24" s="19" t="n"/>
    </row>
    <row r="25">
      <c r="A25" s="20" t="inlineStr">
        <is>
          <t>Produksjonstilskot fordelt på produksjonen</t>
        </is>
      </c>
      <c r="B25" s="24" t="inlineStr">
        <is>
          <t>34xx (ikkje 344x avløysartilskot)</t>
        </is>
      </c>
      <c r="C25" s="31" t="n">
        <v>287735.22</v>
      </c>
      <c r="D25" s="12" t="inlineStr">
        <is>
          <t>kr</t>
        </is>
      </c>
      <c r="E25" s="24" t="inlineStr">
        <is>
          <t>Input. Hentast frå: 34xx (ikkje 344x avløysartilskot).</t>
        </is>
      </c>
      <c r="F25" s="32" t="n"/>
    </row>
    <row r="26">
      <c r="A26" s="20" t="inlineStr">
        <is>
          <t>Livdyrsal</t>
        </is>
      </c>
      <c r="B26" s="24" t="inlineStr">
        <is>
          <t>3050-3059</t>
        </is>
      </c>
      <c r="C26" s="31" t="n">
        <v>142310.5</v>
      </c>
      <c r="D26" s="12" t="inlineStr">
        <is>
          <t>kr</t>
        </is>
      </c>
      <c r="E26" s="24" t="inlineStr">
        <is>
          <t>Input. Hentast frå: 3050-3059.</t>
        </is>
      </c>
      <c r="F26" s="32" t="n"/>
    </row>
    <row r="27">
      <c r="A27" s="20" t="inlineStr">
        <is>
          <t>Slakt</t>
        </is>
      </c>
      <c r="B27" s="24" t="inlineStr">
        <is>
          <t>3040-3049, 3162, 3172, 3078</t>
        </is>
      </c>
      <c r="C27" s="31" t="n">
        <v>94047.03999999999</v>
      </c>
      <c r="D27" s="12" t="inlineStr">
        <is>
          <t>kr</t>
        </is>
      </c>
      <c r="E27" s="24" t="inlineStr">
        <is>
          <t>Input. Hentast frå: 3040-3049, 3162, 3172, 3078.</t>
        </is>
      </c>
      <c r="F27" s="32" t="n"/>
    </row>
    <row r="28">
      <c r="A28" s="20" t="inlineStr">
        <is>
          <t>Buskap, beholdningsendring (+ = auke)</t>
        </is>
      </c>
      <c r="B28" s="24" t="inlineStr">
        <is>
          <t>4690-4698 (forteikn snudd)</t>
        </is>
      </c>
      <c r="C28" s="31" t="n">
        <v>99100</v>
      </c>
      <c r="D28" s="12" t="inlineStr">
        <is>
          <t>kr</t>
        </is>
      </c>
      <c r="E28" s="24" t="inlineStr">
        <is>
          <t>Input. Hentast frå: 4690-4698 (forteikn snudd).</t>
        </is>
      </c>
      <c r="F28" s="32" t="n"/>
    </row>
    <row r="29">
      <c r="A29" s="20" t="inlineStr">
        <is>
          <t>Andre inntekter</t>
        </is>
      </c>
      <c r="B29" s="24" t="inlineStr">
        <is>
          <t>andre 3xxx kopla til produksjonen</t>
        </is>
      </c>
      <c r="C29" s="31" t="n">
        <v>0</v>
      </c>
      <c r="D29" s="12" t="inlineStr">
        <is>
          <t>kr</t>
        </is>
      </c>
      <c r="E29" s="24" t="inlineStr">
        <is>
          <t>Input. Hentast frå: andre 3xxx kopla til produksjonen.</t>
        </is>
      </c>
      <c r="F29" s="32" t="n"/>
    </row>
    <row r="30">
      <c r="A30" s="20" t="inlineStr">
        <is>
          <t>Herav distriktstilskot kjøt</t>
        </is>
      </c>
      <c r="B30" s="24" t="inlineStr">
        <is>
          <t>3047 Slakt, distriktstilskot (del av slakteinntekta)</t>
        </is>
      </c>
      <c r="C30" s="31" t="n">
        <v>0</v>
      </c>
      <c r="D30" s="12" t="inlineStr">
        <is>
          <t>kr</t>
        </is>
      </c>
      <c r="E30" s="24" t="inlineStr">
        <is>
          <t>Input. Hentast frå: 3047 Slakt, distriktstilskot (del av slakteinntekta). Er med i beløpet over, brukt berre til prisutrekning.</t>
        </is>
      </c>
      <c r="F30" s="32" t="n"/>
    </row>
    <row r="31">
      <c r="A31" s="18" t="inlineStr">
        <is>
          <t>Variable kostnader – eigen grovfôrproduksjon</t>
        </is>
      </c>
      <c r="B31" s="19" t="n"/>
      <c r="C31" s="19" t="n"/>
      <c r="D31" s="19" t="n"/>
      <c r="E31" s="19" t="n"/>
      <c r="F31" s="19" t="n"/>
    </row>
    <row r="32">
      <c r="A32" s="20" t="inlineStr">
        <is>
          <t>Såfrø / grasfrø</t>
        </is>
      </c>
      <c r="B32" s="24" t="inlineStr">
        <is>
          <t>4001</t>
        </is>
      </c>
      <c r="C32" s="31" t="n">
        <v>5099</v>
      </c>
      <c r="D32" s="12" t="inlineStr">
        <is>
          <t>kr</t>
        </is>
      </c>
      <c r="E32" s="24" t="inlineStr">
        <is>
          <t>Input. Hentast frå: 4001.</t>
        </is>
      </c>
      <c r="F32" s="32" t="n"/>
    </row>
    <row r="33">
      <c r="A33" s="20" t="inlineStr">
        <is>
          <t>Plantevernmiddel</t>
        </is>
      </c>
      <c r="B33" s="24" t="inlineStr">
        <is>
          <t>4110, 4191</t>
        </is>
      </c>
      <c r="C33" s="31" t="n">
        <v>2736.62</v>
      </c>
      <c r="D33" s="12" t="inlineStr">
        <is>
          <t>kr</t>
        </is>
      </c>
      <c r="E33" s="24" t="inlineStr">
        <is>
          <t>Input. Hentast frå: 4110, 4191.</t>
        </is>
      </c>
      <c r="F33" s="32" t="n"/>
    </row>
    <row r="34">
      <c r="A34" s="20" t="inlineStr">
        <is>
          <t>Rundballeplast mm.</t>
        </is>
      </c>
      <c r="B34" s="24" t="inlineStr">
        <is>
          <t>4140, 4194</t>
        </is>
      </c>
      <c r="C34" s="31" t="n">
        <v>14760</v>
      </c>
      <c r="D34" s="12" t="inlineStr">
        <is>
          <t>kr</t>
        </is>
      </c>
      <c r="E34" s="24" t="inlineStr">
        <is>
          <t>Input. Hentast frå: 4140, 4194.</t>
        </is>
      </c>
      <c r="F34" s="32" t="n"/>
    </row>
    <row r="35">
      <c r="A35" s="20" t="inlineStr">
        <is>
          <t>Handelsgjødsel</t>
        </is>
      </c>
      <c r="B35" s="24" t="inlineStr">
        <is>
          <t>4050, 4095</t>
        </is>
      </c>
      <c r="C35" s="31" t="n">
        <v>42759.04</v>
      </c>
      <c r="D35" s="12" t="inlineStr">
        <is>
          <t>kr</t>
        </is>
      </c>
      <c r="E35" s="24" t="inlineStr">
        <is>
          <t>Input. Hentast frå: 4050, 4095.</t>
        </is>
      </c>
      <c r="F35" s="32" t="n"/>
    </row>
    <row r="36">
      <c r="A36" s="20" t="inlineStr">
        <is>
          <t>Kalk</t>
        </is>
      </c>
      <c r="B36" s="24" t="inlineStr">
        <is>
          <t>4057</t>
        </is>
      </c>
      <c r="C36" s="31" t="n">
        <v>5691.36</v>
      </c>
      <c r="D36" s="12" t="inlineStr">
        <is>
          <t>kr</t>
        </is>
      </c>
      <c r="E36" s="24" t="inlineStr">
        <is>
          <t>Input. Hentast frå: 4057.</t>
        </is>
      </c>
      <c r="F36" s="32" t="n"/>
    </row>
    <row r="37">
      <c r="A37" s="20" t="inlineStr">
        <is>
          <t>Konserveringsmiddel</t>
        </is>
      </c>
      <c r="B37" s="24" t="inlineStr">
        <is>
          <t>4080, 4098</t>
        </is>
      </c>
      <c r="C37" s="31" t="n">
        <v>4969.2</v>
      </c>
      <c r="D37" s="12" t="inlineStr">
        <is>
          <t>kr</t>
        </is>
      </c>
      <c r="E37" s="24" t="inlineStr">
        <is>
          <t>Input. Hentast frå: 4080, 4098.</t>
        </is>
      </c>
      <c r="F37" s="32" t="n"/>
    </row>
    <row r="38">
      <c r="A38" s="20" t="inlineStr">
        <is>
          <t>Endring anna varelager (variable kostn.)</t>
        </is>
      </c>
      <c r="B38" s="24" t="inlineStr">
        <is>
          <t>4090</t>
        </is>
      </c>
      <c r="C38" s="31" t="n">
        <v>0</v>
      </c>
      <c r="D38" s="12" t="inlineStr">
        <is>
          <t>kr</t>
        </is>
      </c>
      <c r="E38" s="24" t="inlineStr">
        <is>
          <t>Input. Hentast frå: 4090.</t>
        </is>
      </c>
      <c r="F38" s="32" t="n"/>
    </row>
    <row r="39">
      <c r="A39" s="20" t="inlineStr">
        <is>
          <t>Endring eigenprodusert grovfôr (+ = nedgang i lager)</t>
        </is>
      </c>
      <c r="B39" s="24" t="inlineStr">
        <is>
          <t>4297</t>
        </is>
      </c>
      <c r="C39" s="31" t="n">
        <v>19021</v>
      </c>
      <c r="D39" s="12" t="inlineStr">
        <is>
          <t>kr</t>
        </is>
      </c>
      <c r="E39" s="24" t="inlineStr">
        <is>
          <t>Input. Hentast frå: 4297.</t>
        </is>
      </c>
      <c r="F39" s="32" t="n"/>
    </row>
    <row r="40">
      <c r="A40" s="18" t="inlineStr">
        <is>
          <t>Variable kostnader – anna</t>
        </is>
      </c>
      <c r="B40" s="19" t="n"/>
      <c r="C40" s="19" t="n"/>
      <c r="D40" s="19" t="n"/>
      <c r="E40" s="19" t="n"/>
      <c r="F40" s="19" t="n"/>
    </row>
    <row r="41">
      <c r="A41" s="20" t="inlineStr">
        <is>
          <t>Kjøp grovfôr</t>
        </is>
      </c>
      <c r="B41" s="24" t="inlineStr">
        <is>
          <t>4030</t>
        </is>
      </c>
      <c r="C41" s="31" t="n">
        <v>643.2</v>
      </c>
      <c r="D41" s="12" t="inlineStr">
        <is>
          <t>kr</t>
        </is>
      </c>
      <c r="E41" s="24" t="inlineStr">
        <is>
          <t>Input. Hentast frå: 4030.</t>
        </is>
      </c>
      <c r="F41" s="32" t="n"/>
    </row>
    <row r="42">
      <c r="A42" s="20" t="inlineStr">
        <is>
          <t>Beiteleige / dyr på beite</t>
        </is>
      </c>
      <c r="B42" s="24" t="inlineStr">
        <is>
          <t>4031</t>
        </is>
      </c>
      <c r="C42" s="31" t="n">
        <v>0</v>
      </c>
      <c r="D42" s="12" t="inlineStr">
        <is>
          <t>kr</t>
        </is>
      </c>
      <c r="E42" s="24" t="inlineStr">
        <is>
          <t>Input. Hentast frå: 4031.</t>
        </is>
      </c>
      <c r="F42" s="32" t="n"/>
    </row>
    <row r="43">
      <c r="A43" s="20" t="inlineStr">
        <is>
          <t>Endring innkjøpt grovfôrlager</t>
        </is>
      </c>
      <c r="B43" s="24" t="inlineStr">
        <is>
          <t>4093</t>
        </is>
      </c>
      <c r="C43" s="31" t="n">
        <v>0</v>
      </c>
      <c r="D43" s="12" t="inlineStr">
        <is>
          <t>kr</t>
        </is>
      </c>
      <c r="E43" s="24" t="inlineStr">
        <is>
          <t>Input. Hentast frå: 4093.</t>
        </is>
      </c>
      <c r="F43" s="32" t="n"/>
    </row>
    <row r="44">
      <c r="A44" s="20" t="inlineStr">
        <is>
          <t>Kraftfôr mm.</t>
        </is>
      </c>
      <c r="B44" s="24" t="inlineStr">
        <is>
          <t>4020-4029, 4040-4049, 4092, 4094</t>
        </is>
      </c>
      <c r="C44" s="31" t="n">
        <v>55861.22</v>
      </c>
      <c r="D44" s="12" t="inlineStr">
        <is>
          <t>kr</t>
        </is>
      </c>
      <c r="E44" s="24" t="inlineStr">
        <is>
          <t>Input. Hentast frå: 4020-4029, 4040-4049, 4092, 4094.</t>
        </is>
      </c>
      <c r="F44" s="32" t="n"/>
    </row>
    <row r="45">
      <c r="A45" s="20" t="inlineStr">
        <is>
          <t>Veterinær, medisin, semin mm.</t>
        </is>
      </c>
      <c r="B45" s="24" t="inlineStr">
        <is>
          <t>4120, 4192, 4520-4529</t>
        </is>
      </c>
      <c r="C45" s="31" t="n">
        <v>31948.8</v>
      </c>
      <c r="D45" s="12" t="inlineStr">
        <is>
          <t>kr</t>
        </is>
      </c>
      <c r="E45" s="24" t="inlineStr">
        <is>
          <t>Input. Hentast frå: 4120, 4192, 4520-4529.</t>
        </is>
      </c>
      <c r="F45" s="32" t="n"/>
    </row>
    <row r="46">
      <c r="A46" s="20" t="inlineStr">
        <is>
          <t>Innkjøp dyr</t>
        </is>
      </c>
      <c r="B46" s="24" t="inlineStr">
        <is>
          <t>4600-4689</t>
        </is>
      </c>
      <c r="C46" s="31" t="n">
        <v>21960</v>
      </c>
      <c r="D46" s="12" t="inlineStr">
        <is>
          <t>kr</t>
        </is>
      </c>
      <c r="E46" s="24" t="inlineStr">
        <is>
          <t>Input. Hentast frå: 4600-4689.</t>
        </is>
      </c>
      <c r="F46" s="32" t="n"/>
    </row>
    <row r="47">
      <c r="A47" s="20" t="inlineStr">
        <is>
          <t>Andre variable kostnader</t>
        </is>
      </c>
      <c r="B47" s="24" t="inlineStr">
        <is>
          <t>4130-4139, 4193, 4530-4549, 4560-4569 + andre 4xxx</t>
        </is>
      </c>
      <c r="C47" s="31" t="n">
        <v>26689.6</v>
      </c>
      <c r="D47" s="12" t="inlineStr">
        <is>
          <t>kr</t>
        </is>
      </c>
      <c r="E47" s="24" t="inlineStr">
        <is>
          <t>Input. Hentast frå: 4130-4139, 4193, 4530-4549, 4560-4569 + andre 4xxx.</t>
        </is>
      </c>
      <c r="F47" s="32" t="n"/>
    </row>
    <row r="48">
      <c r="A48" s="18" t="inlineStr">
        <is>
          <t>3. INPUT – Fordelte faste kostnader (lenka frå arket «Faste kostnader»)</t>
        </is>
      </c>
      <c r="B48" s="19" t="n"/>
      <c r="C48" s="19" t="n"/>
      <c r="D48" s="19" t="n"/>
      <c r="E48" s="19" t="n"/>
      <c r="F48" s="19" t="n"/>
    </row>
    <row r="49">
      <c r="A49" s="20" t="inlineStr">
        <is>
          <t>Maskinkostnader fordelt</t>
        </is>
      </c>
      <c r="B49" s="21" t="inlineStr">
        <is>
          <t>Lenkje frå anna ark</t>
        </is>
      </c>
      <c r="C49" s="13">
        <f>'Faste kostnader'!C49</f>
        <v/>
      </c>
      <c r="D49" s="12" t="inlineStr">
        <is>
          <t>kr</t>
        </is>
      </c>
      <c r="E49" s="23" t="inlineStr">
        <is>
          <t>Maskinkostnader fordelt = Maskinkostnader – Ammekyr [Faste kostnader!C49]</t>
        </is>
      </c>
      <c r="F49" s="24" t="inlineStr">
        <is>
          <t>='Faste kostnader'!C49</t>
        </is>
      </c>
    </row>
    <row r="50">
      <c r="A50" s="20" t="inlineStr">
        <is>
          <t>Innandørsmekanisering fordelt</t>
        </is>
      </c>
      <c r="B50" s="21" t="inlineStr">
        <is>
          <t>Lenkje frå anna ark</t>
        </is>
      </c>
      <c r="C50" s="13">
        <f>'Faste kostnader'!C80</f>
        <v/>
      </c>
      <c r="D50" s="12" t="inlineStr">
        <is>
          <t>kr</t>
        </is>
      </c>
      <c r="E50" s="23" t="inlineStr">
        <is>
          <t>Innandørsmekanisering fordelt = Innandørsmekanisering – Ammekyr [Faste kostnader!C80]</t>
        </is>
      </c>
      <c r="F50" s="24" t="inlineStr">
        <is>
          <t>='Faste kostnader'!C80</t>
        </is>
      </c>
    </row>
    <row r="51">
      <c r="A51" s="18" t="inlineStr">
        <is>
          <t>4. UTREKNING – Totalt for produksjonen</t>
        </is>
      </c>
      <c r="B51" s="19" t="n"/>
      <c r="C51" s="19" t="n"/>
      <c r="D51" s="19" t="n"/>
      <c r="E51" s="19" t="n"/>
      <c r="F51" s="19" t="n"/>
    </row>
    <row r="52">
      <c r="A52" s="20" t="inlineStr">
        <is>
          <t>Produksjonsinntekter i alt</t>
        </is>
      </c>
      <c r="B52" s="21" t="inlineStr">
        <is>
          <t>Utrekna</t>
        </is>
      </c>
      <c r="C52" s="22">
        <f>C26+C27+C28+C29</f>
        <v/>
      </c>
      <c r="D52" s="12" t="inlineStr">
        <is>
          <t>kr</t>
        </is>
      </c>
      <c r="E52" s="23" t="inlineStr">
        <is>
          <t>Produksjonsinntekter i alt = Livdyrsal [C26] + Slakt [C27] + Buskap, beholdningsendring (+ = auke) [C28] + Andre inntekter [C29]</t>
        </is>
      </c>
      <c r="F52" s="24" t="inlineStr">
        <is>
          <t>=C26+C27+C28+C29</t>
        </is>
      </c>
    </row>
    <row r="53">
      <c r="A53" s="20" t="inlineStr">
        <is>
          <t>Eigen grovfôr – sum variable kostnader</t>
        </is>
      </c>
      <c r="B53" s="21" t="inlineStr">
        <is>
          <t>Utrekna</t>
        </is>
      </c>
      <c r="C53" s="22">
        <f>C32+C33+C34+C35+C36+C37+C38+C39</f>
        <v/>
      </c>
      <c r="D53" s="12" t="inlineStr">
        <is>
          <t>kr</t>
        </is>
      </c>
      <c r="E53" s="23" t="inlineStr">
        <is>
          <t>Eigen grovfôr – sum variable kostnader = Såfrø / grasfrø [C32] + Plantevernmiddel [C33] + Rundballeplast mm. [C34] + Handelsgjødsel [C35] + Kalk [C36] + Konserveringsmiddel [C37] + Endring anna varelager (variable kostn.) [C38] + Endring eigenprodusert grovfôr (+ = nedgang i lager) [C39]</t>
        </is>
      </c>
      <c r="F53" s="24" t="inlineStr">
        <is>
          <t>=C32+C33+C34+C35+C36+C37+C38+C39</t>
        </is>
      </c>
    </row>
    <row r="54">
      <c r="A54" s="20" t="inlineStr">
        <is>
          <t>Variabel grovfôrkostnad (utan plast og lagerendring eigenprodusert)</t>
        </is>
      </c>
      <c r="B54" s="21" t="inlineStr">
        <is>
          <t>Utrekna</t>
        </is>
      </c>
      <c r="C54" s="22">
        <f>C32+C33+C35+C36+C37+C38</f>
        <v/>
      </c>
      <c r="D54" s="12" t="inlineStr">
        <is>
          <t>kr</t>
        </is>
      </c>
      <c r="E54" s="23" t="inlineStr">
        <is>
          <t>Variabel grovfôrkostnad (utan plast og lagerendring eigenprodusert) = Såfrø / grasfrø [C32] + Plantevernmiddel [C33] + Handelsgjødsel [C35] + Kalk [C36] + Konserveringsmiddel [C37] + Endring anna varelager (variable kostn.) [C38]   (Brukt i «Variabel grovfôrkostnad pr dekar» – same utval som eksempelanalysen)</t>
        </is>
      </c>
      <c r="F54" s="24" t="inlineStr">
        <is>
          <t>=C32+C33+C35+C36+C37+C38</t>
        </is>
      </c>
    </row>
    <row r="55">
      <c r="A55" s="20" t="inlineStr">
        <is>
          <t>Sum eigen grovfôrproduksjon (utan lagerendring)</t>
        </is>
      </c>
      <c r="B55" s="21" t="inlineStr">
        <is>
          <t>Utrekna</t>
        </is>
      </c>
      <c r="C55" s="22">
        <f>C53-C39</f>
        <v/>
      </c>
      <c r="D55" s="12" t="inlineStr">
        <is>
          <t>kr</t>
        </is>
      </c>
      <c r="E55" s="23" t="inlineStr">
        <is>
          <t>Sum eigen grovfôrproduksjon (utan lagerendring) = Eigen grovfôr – sum variable kostnader [C53] − Endring eigenprodusert grovfôr (+ = nedgang i lager) [C39]   (Brukt til å fordele grovfôrarealet mellom produksjonane)</t>
        </is>
      </c>
      <c r="F55" s="24" t="inlineStr">
        <is>
          <t>=C53-C39</t>
        </is>
      </c>
    </row>
    <row r="56">
      <c r="A56" s="20" t="inlineStr">
        <is>
          <t>Grovfôr – kostnad i alt</t>
        </is>
      </c>
      <c r="B56" s="21" t="inlineStr">
        <is>
          <t>Utrekna</t>
        </is>
      </c>
      <c r="C56" s="22">
        <f>C53+C41+C43</f>
        <v/>
      </c>
      <c r="D56" s="12" t="inlineStr">
        <is>
          <t>kr</t>
        </is>
      </c>
      <c r="E56" s="23" t="inlineStr">
        <is>
          <t>Grovfôr – kostnad i alt = Eigen grovfôr – sum variable kostnader [C53] + Kjøp grovfôr [C41] + Endring innkjøpt grovfôrlager [C43]</t>
        </is>
      </c>
      <c r="F56" s="24" t="inlineStr">
        <is>
          <t>=C53+C41+C43</t>
        </is>
      </c>
    </row>
    <row r="57">
      <c r="A57" s="20" t="inlineStr">
        <is>
          <t>Variable kostnader i alt</t>
        </is>
      </c>
      <c r="B57" s="21" t="inlineStr">
        <is>
          <t>Utrekna</t>
        </is>
      </c>
      <c r="C57" s="22">
        <f>C56+C42+C44+C45+C46+C47</f>
        <v/>
      </c>
      <c r="D57" s="12" t="inlineStr">
        <is>
          <t>kr</t>
        </is>
      </c>
      <c r="E57" s="23" t="inlineStr">
        <is>
          <t>Variable kostnader i alt = Grovfôr – kostnad i alt [C56] + Beiteleige / dyr på beite [C42] + Kraftfôr mm. [C44] + Veterinær, medisin, semin mm. [C45] + Innkjøp dyr [C46] + Andre variable kostnader [C47]</t>
        </is>
      </c>
      <c r="F57" s="24" t="inlineStr">
        <is>
          <t>=C56+C42+C44+C45+C46+C47</t>
        </is>
      </c>
    </row>
    <row r="58">
      <c r="A58" s="25" t="inlineStr">
        <is>
          <t>Dekningsbidrag (DB) utan tilskot</t>
        </is>
      </c>
      <c r="B58" s="26" t="inlineStr">
        <is>
          <t>Utrekna</t>
        </is>
      </c>
      <c r="C58" s="27">
        <f>C52-C57</f>
        <v/>
      </c>
      <c r="D58" s="28" t="inlineStr">
        <is>
          <t>kr</t>
        </is>
      </c>
      <c r="E58" s="29" t="inlineStr">
        <is>
          <t>Dekningsbidrag (DB) utan tilskot = Produksjonsinntekter i alt [C52] − Variable kostnader i alt [C57]</t>
        </is>
      </c>
      <c r="F58" s="30" t="inlineStr">
        <is>
          <t>=C52-C57</t>
        </is>
      </c>
    </row>
    <row r="59">
      <c r="A59" s="25" t="inlineStr">
        <is>
          <t>Dekningsbidrag (DB) med tilskot</t>
        </is>
      </c>
      <c r="B59" s="26" t="inlineStr">
        <is>
          <t>Utrekna</t>
        </is>
      </c>
      <c r="C59" s="27">
        <f>C58+C25</f>
        <v/>
      </c>
      <c r="D59" s="28" t="inlineStr">
        <is>
          <t>kr</t>
        </is>
      </c>
      <c r="E59" s="29" t="inlineStr">
        <is>
          <t>Dekningsbidrag (DB) med tilskot = Dekningsbidrag (DB) utan tilskot [C58] + Produksjonstilskot fordelt på produksjonen [C25]</t>
        </is>
      </c>
      <c r="F59" s="30" t="inlineStr">
        <is>
          <t>=C58+C25</t>
        </is>
      </c>
    </row>
    <row r="60">
      <c r="A60" s="20" t="inlineStr">
        <is>
          <t>DB m/tilskot etter maskin- og innandørskostnad</t>
        </is>
      </c>
      <c r="B60" s="21" t="inlineStr">
        <is>
          <t>Utrekna</t>
        </is>
      </c>
      <c r="C60" s="22">
        <f>C59-C49-C50</f>
        <v/>
      </c>
      <c r="D60" s="12" t="inlineStr">
        <is>
          <t>kr</t>
        </is>
      </c>
      <c r="E60" s="23" t="inlineStr">
        <is>
          <t>DB m/tilskot etter maskin- og innandørskostnad = Dekningsbidrag (DB) med tilskot [C59] − Maskinkostnader fordelt [C49] − Innandørsmekanisering fordelt [C50]</t>
        </is>
      </c>
      <c r="F60" s="24" t="inlineStr">
        <is>
          <t>=C59-C49-C50</t>
        </is>
      </c>
    </row>
    <row r="61">
      <c r="A61" s="20" t="inlineStr">
        <is>
          <t>«Kueiningar»</t>
        </is>
      </c>
      <c r="B61" s="21" t="inlineStr">
        <is>
          <t>Utrekna</t>
        </is>
      </c>
      <c r="C61" s="38">
        <f>((C8+C9+C10+C11)+(C12+C13)/3+(C14+C15)/4)/2</f>
        <v/>
      </c>
      <c r="D61" s="12" t="inlineStr">
        <is>
          <t>stk</t>
        </is>
      </c>
      <c r="E61" s="23" t="inlineStr">
        <is>
          <t>«Kueiningar» = ((Ammekyr pr 1.1. [C8] + Ammekyr pr 31.12. [C9] + Avlsokse pr 1.1. [C10] + Avlsokse pr 31.12. [C11]) + (Ungdyr over 12 md pr 1.1. [C12] + Ungdyr over 12 md pr 31.12. [C13]) / 3 + (Kalvar/ungdyr under 12 md pr 1.1. [C14] + Kalvar/ungdyr under 12 md pr 31.12. [C15]) / 4) / 2   (Vekting av dyretal (snitt 1.1. og 31.12.) – sjå formel)</t>
        </is>
      </c>
      <c r="F61" s="24" t="inlineStr">
        <is>
          <t>=((C8+C9+C10+C11)+(C12+C13)/3+(C14+C15)/4)/2</t>
        </is>
      </c>
    </row>
    <row r="62">
      <c r="A62" s="20" t="inlineStr">
        <is>
          <t>Påsettprosent</t>
        </is>
      </c>
      <c r="B62" s="21" t="inlineStr">
        <is>
          <t>Utrekna</t>
        </is>
      </c>
      <c r="C62" s="35">
        <f>IF((C8+C9)=0,0,((C10+C11+C12+C13+C14+C15)/2)/(C8+C9))</f>
        <v/>
      </c>
      <c r="D62" s="12" t="inlineStr">
        <is>
          <t>%</t>
        </is>
      </c>
      <c r="E62" s="23" t="inlineStr">
        <is>
          <t>Påsettprosent = ((Avlsokse pr 1.1. [C10] + Avlsokse pr 31.12. [C11] + Ungdyr over 12 md pr 1.1. [C12] + Ungdyr over 12 md pr 31.12. [C13] + Kalvar/ungdyr under 12 md pr 1.1. [C14] + Kalvar/ungdyr under 12 md pr 31.12. [C15]) / 2) ÷ (Ammekyr pr 1.1. [C8] + Ammekyr pr 31.12. [C9])   (Snitt av anna storfe / 2 delt på (ammekyr 1.1. + ammekyr 31.12.))</t>
        </is>
      </c>
      <c r="F62" s="24" t="inlineStr">
        <is>
          <t>=IF((C8+C9)=0,0,((C10+C11+C12+C13+C14+C15)/2)/(C8+C9))</t>
        </is>
      </c>
    </row>
    <row r="63">
      <c r="A63" s="18" t="inlineStr">
        <is>
          <t>5. OUTPUT – Per eining (pr ammeku)</t>
        </is>
      </c>
      <c r="B63" s="19" t="n"/>
      <c r="C63" s="19" t="n"/>
      <c r="D63" s="19" t="n"/>
      <c r="E63" s="19" t="n"/>
      <c r="F63" s="19" t="n"/>
    </row>
    <row r="64">
      <c r="A64" s="18" t="inlineStr">
        <is>
          <t>Produksjonsinntekter pr ammeku</t>
        </is>
      </c>
      <c r="B64" s="19" t="n"/>
      <c r="C64" s="19" t="n"/>
      <c r="D64" s="19" t="n"/>
      <c r="E64" s="19" t="n"/>
      <c r="F64" s="19" t="n"/>
    </row>
    <row r="65">
      <c r="A65" s="20" t="inlineStr">
        <is>
          <t>Livdyrsal</t>
        </is>
      </c>
      <c r="B65" s="21" t="inlineStr">
        <is>
          <t>Utrekna</t>
        </is>
      </c>
      <c r="C65" s="38">
        <f>IF((C7)=0,0,(C26)/(C7))</f>
        <v/>
      </c>
      <c r="D65" s="12" t="inlineStr">
        <is>
          <t>kr</t>
        </is>
      </c>
      <c r="E65" s="23" t="inlineStr">
        <is>
          <t>Livdyrsal = Livdyrsal [C26] ÷ Tal ammekyr [C7]</t>
        </is>
      </c>
      <c r="F65" s="24" t="inlineStr">
        <is>
          <t>=IF((C7)=0,0,(C26)/(C7))</t>
        </is>
      </c>
    </row>
    <row r="66">
      <c r="A66" s="20" t="inlineStr">
        <is>
          <t>Slakt</t>
        </is>
      </c>
      <c r="B66" s="21" t="inlineStr">
        <is>
          <t>Utrekna</t>
        </is>
      </c>
      <c r="C66" s="38">
        <f>IF((C7)=0,0,(C27)/(C7))</f>
        <v/>
      </c>
      <c r="D66" s="12" t="inlineStr">
        <is>
          <t>kr</t>
        </is>
      </c>
      <c r="E66" s="23" t="inlineStr">
        <is>
          <t>Slakt = Slakt [C27] ÷ Tal ammekyr [C7]</t>
        </is>
      </c>
      <c r="F66" s="24" t="inlineStr">
        <is>
          <t>=IF((C7)=0,0,(C27)/(C7))</t>
        </is>
      </c>
    </row>
    <row r="67">
      <c r="A67" s="20" t="inlineStr">
        <is>
          <t>Buskap, beholdningsendring (+ = auke)</t>
        </is>
      </c>
      <c r="B67" s="21" t="inlineStr">
        <is>
          <t>Utrekna</t>
        </is>
      </c>
      <c r="C67" s="38">
        <f>IF((C7)=0,0,(C28)/(C7))</f>
        <v/>
      </c>
      <c r="D67" s="12" t="inlineStr">
        <is>
          <t>kr</t>
        </is>
      </c>
      <c r="E67" s="23" t="inlineStr">
        <is>
          <t>Buskap, beholdningsendring (+ = auke) = Buskap, beholdningsendring (+ = auke) [C28] ÷ Tal ammekyr [C7]</t>
        </is>
      </c>
      <c r="F67" s="24" t="inlineStr">
        <is>
          <t>=IF((C7)=0,0,(C28)/(C7))</t>
        </is>
      </c>
    </row>
    <row r="68">
      <c r="A68" s="20" t="inlineStr">
        <is>
          <t>Andre inntekter</t>
        </is>
      </c>
      <c r="B68" s="21" t="inlineStr">
        <is>
          <t>Utrekna</t>
        </is>
      </c>
      <c r="C68" s="38">
        <f>IF((C7)=0,0,(C29)/(C7))</f>
        <v/>
      </c>
      <c r="D68" s="12" t="inlineStr">
        <is>
          <t>kr</t>
        </is>
      </c>
      <c r="E68" s="23" t="inlineStr">
        <is>
          <t>Andre inntekter = Andre inntekter [C29] ÷ Tal ammekyr [C7]</t>
        </is>
      </c>
      <c r="F68" s="24" t="inlineStr">
        <is>
          <t>=IF((C7)=0,0,(C29)/(C7))</t>
        </is>
      </c>
    </row>
    <row r="69">
      <c r="A69" s="20" t="inlineStr">
        <is>
          <t>Produksjonsinntekter i alt</t>
        </is>
      </c>
      <c r="B69" s="21" t="inlineStr">
        <is>
          <t>Utrekna</t>
        </is>
      </c>
      <c r="C69" s="38">
        <f>IF((C7)=0,0,(C52)/(C7))</f>
        <v/>
      </c>
      <c r="D69" s="12" t="inlineStr">
        <is>
          <t>kr</t>
        </is>
      </c>
      <c r="E69" s="23" t="inlineStr">
        <is>
          <t>Produksjonsinntekter i alt = Produksjonsinntekter i alt [C52] ÷ Tal ammekyr [C7]</t>
        </is>
      </c>
      <c r="F69" s="24" t="inlineStr">
        <is>
          <t>=IF((C7)=0,0,(C52)/(C7))</t>
        </is>
      </c>
    </row>
    <row r="70">
      <c r="A70" s="18" t="inlineStr">
        <is>
          <t>Variable kostnader pr ammeku</t>
        </is>
      </c>
      <c r="B70" s="19" t="n"/>
      <c r="C70" s="19" t="n"/>
      <c r="D70" s="19" t="n"/>
      <c r="E70" s="19" t="n"/>
      <c r="F70" s="19" t="n"/>
    </row>
    <row r="71">
      <c r="A71" s="20" t="inlineStr">
        <is>
          <t>Eigen grovfôrproduksjon</t>
        </is>
      </c>
      <c r="B71" s="21" t="inlineStr">
        <is>
          <t>Utrekna</t>
        </is>
      </c>
      <c r="C71" s="38">
        <f>IF((C7)=0,0,(C55)/(C7))</f>
        <v/>
      </c>
      <c r="D71" s="12" t="inlineStr">
        <is>
          <t>kr</t>
        </is>
      </c>
      <c r="E71" s="23" t="inlineStr">
        <is>
          <t>Eigen grovfôrproduksjon = Sum eigen grovfôrproduksjon (utan lagerendring) [C55] ÷ Tal ammekyr [C7]</t>
        </is>
      </c>
      <c r="F71" s="24" t="inlineStr">
        <is>
          <t>=IF((C7)=0,0,(C55)/(C7))</t>
        </is>
      </c>
    </row>
    <row r="72">
      <c r="A72" s="20" t="inlineStr">
        <is>
          <t>Kjøpt grovfôr</t>
        </is>
      </c>
      <c r="B72" s="21" t="inlineStr">
        <is>
          <t>Utrekna</t>
        </is>
      </c>
      <c r="C72" s="38">
        <f>IF((C7)=0,0,(C41)/(C7))</f>
        <v/>
      </c>
      <c r="D72" s="12" t="inlineStr">
        <is>
          <t>kr</t>
        </is>
      </c>
      <c r="E72" s="23" t="inlineStr">
        <is>
          <t>Kjøpt grovfôr = Kjøp grovfôr [C41] ÷ Tal ammekyr [C7]</t>
        </is>
      </c>
      <c r="F72" s="24" t="inlineStr">
        <is>
          <t>=IF((C7)=0,0,(C41)/(C7))</t>
        </is>
      </c>
    </row>
    <row r="73">
      <c r="A73" s="20" t="inlineStr">
        <is>
          <t>Varelager endring grovfôr</t>
        </is>
      </c>
      <c r="B73" s="21" t="inlineStr">
        <is>
          <t>Utrekna</t>
        </is>
      </c>
      <c r="C73" s="38">
        <f>IF((C7)=0,0,(C39+C43)/(C7))</f>
        <v/>
      </c>
      <c r="D73" s="12" t="inlineStr">
        <is>
          <t>kr</t>
        </is>
      </c>
      <c r="E73" s="23" t="inlineStr">
        <is>
          <t>Varelager endring grovfôr = (Endring eigenprodusert grovfôr (+ = nedgang i lager) [C39] + Endring innkjøpt grovfôrlager [C43]) ÷ Tal ammekyr [C7]</t>
        </is>
      </c>
      <c r="F73" s="24" t="inlineStr">
        <is>
          <t>=IF((C7)=0,0,(C39+C43)/(C7))</t>
        </is>
      </c>
    </row>
    <row r="74">
      <c r="A74" s="20" t="inlineStr">
        <is>
          <t>Beiteleige</t>
        </is>
      </c>
      <c r="B74" s="21" t="inlineStr">
        <is>
          <t>Utrekna</t>
        </is>
      </c>
      <c r="C74" s="38">
        <f>IF((C7)=0,0,(C42)/(C7))</f>
        <v/>
      </c>
      <c r="D74" s="12" t="inlineStr">
        <is>
          <t>kr</t>
        </is>
      </c>
      <c r="E74" s="23" t="inlineStr">
        <is>
          <t>Beiteleige = Beiteleige / dyr på beite [C42] ÷ Tal ammekyr [C7]</t>
        </is>
      </c>
      <c r="F74" s="24" t="inlineStr">
        <is>
          <t>=IF((C7)=0,0,(C42)/(C7))</t>
        </is>
      </c>
    </row>
    <row r="75">
      <c r="A75" s="20" t="inlineStr">
        <is>
          <t>Kraftfôr mm.</t>
        </is>
      </c>
      <c r="B75" s="21" t="inlineStr">
        <is>
          <t>Utrekna</t>
        </is>
      </c>
      <c r="C75" s="38">
        <f>IF((C7)=0,0,(C44)/(C7))</f>
        <v/>
      </c>
      <c r="D75" s="12" t="inlineStr">
        <is>
          <t>kr</t>
        </is>
      </c>
      <c r="E75" s="23" t="inlineStr">
        <is>
          <t>Kraftfôr mm. = Kraftfôr mm. [C44] ÷ Tal ammekyr [C7]</t>
        </is>
      </c>
      <c r="F75" s="24" t="inlineStr">
        <is>
          <t>=IF((C7)=0,0,(C44)/(C7))</t>
        </is>
      </c>
    </row>
    <row r="76">
      <c r="A76" s="20" t="inlineStr">
        <is>
          <t>Veterinær, medisin, semin mm.</t>
        </is>
      </c>
      <c r="B76" s="21" t="inlineStr">
        <is>
          <t>Utrekna</t>
        </is>
      </c>
      <c r="C76" s="38">
        <f>IF((C7)=0,0,(C45)/(C7))</f>
        <v/>
      </c>
      <c r="D76" s="12" t="inlineStr">
        <is>
          <t>kr</t>
        </is>
      </c>
      <c r="E76" s="23" t="inlineStr">
        <is>
          <t>Veterinær, medisin, semin mm. = Veterinær, medisin, semin mm. [C45] ÷ Tal ammekyr [C7]</t>
        </is>
      </c>
      <c r="F76" s="24" t="inlineStr">
        <is>
          <t>=IF((C7)=0,0,(C45)/(C7))</t>
        </is>
      </c>
    </row>
    <row r="77">
      <c r="A77" s="20" t="inlineStr">
        <is>
          <t>Innkjøp dyr</t>
        </is>
      </c>
      <c r="B77" s="21" t="inlineStr">
        <is>
          <t>Utrekna</t>
        </is>
      </c>
      <c r="C77" s="38">
        <f>IF((C7)=0,0,(C46)/(C7))</f>
        <v/>
      </c>
      <c r="D77" s="12" t="inlineStr">
        <is>
          <t>kr</t>
        </is>
      </c>
      <c r="E77" s="23" t="inlineStr">
        <is>
          <t>Innkjøp dyr = Innkjøp dyr [C46] ÷ Tal ammekyr [C7]</t>
        </is>
      </c>
      <c r="F77" s="24" t="inlineStr">
        <is>
          <t>=IF((C7)=0,0,(C46)/(C7))</t>
        </is>
      </c>
    </row>
    <row r="78">
      <c r="A78" s="20" t="inlineStr">
        <is>
          <t>Andre variable kostnader</t>
        </is>
      </c>
      <c r="B78" s="21" t="inlineStr">
        <is>
          <t>Utrekna</t>
        </is>
      </c>
      <c r="C78" s="38">
        <f>IF((C7)=0,0,(C47)/(C7))</f>
        <v/>
      </c>
      <c r="D78" s="12" t="inlineStr">
        <is>
          <t>kr</t>
        </is>
      </c>
      <c r="E78" s="23" t="inlineStr">
        <is>
          <t>Andre variable kostnader = Andre variable kostnader [C47] ÷ Tal ammekyr [C7]</t>
        </is>
      </c>
      <c r="F78" s="24" t="inlineStr">
        <is>
          <t>=IF((C7)=0,0,(C47)/(C7))</t>
        </is>
      </c>
    </row>
    <row r="79">
      <c r="A79" s="20" t="inlineStr">
        <is>
          <t>Sum variable kostnader</t>
        </is>
      </c>
      <c r="B79" s="21" t="inlineStr">
        <is>
          <t>Utrekna</t>
        </is>
      </c>
      <c r="C79" s="38">
        <f>IF((C7)=0,0,(C57)/(C7))</f>
        <v/>
      </c>
      <c r="D79" s="12" t="inlineStr">
        <is>
          <t>kr</t>
        </is>
      </c>
      <c r="E79" s="23" t="inlineStr">
        <is>
          <t>Sum variable kostnader = Variable kostnader i alt [C57] ÷ Tal ammekyr [C7]</t>
        </is>
      </c>
      <c r="F79" s="24" t="inlineStr">
        <is>
          <t>=IF((C7)=0,0,(C57)/(C7))</t>
        </is>
      </c>
    </row>
    <row r="80">
      <c r="A80" s="18" t="inlineStr">
        <is>
          <t>Resultat pr ammeku</t>
        </is>
      </c>
      <c r="B80" s="19" t="n"/>
      <c r="C80" s="19" t="n"/>
      <c r="D80" s="19" t="n"/>
      <c r="E80" s="19" t="n"/>
      <c r="F80" s="19" t="n"/>
    </row>
    <row r="81">
      <c r="A81" s="20" t="inlineStr">
        <is>
          <t>DB utan tilskot</t>
        </is>
      </c>
      <c r="B81" s="21" t="inlineStr">
        <is>
          <t>Utrekna</t>
        </is>
      </c>
      <c r="C81" s="38">
        <f>IF((C7)=0,0,(C58)/(C7))</f>
        <v/>
      </c>
      <c r="D81" s="12" t="inlineStr">
        <is>
          <t>kr</t>
        </is>
      </c>
      <c r="E81" s="23" t="inlineStr">
        <is>
          <t>DB utan tilskot = Dekningsbidrag (DB) utan tilskot [C58] ÷ Tal ammekyr [C7]</t>
        </is>
      </c>
      <c r="F81" s="24" t="inlineStr">
        <is>
          <t>=IF((C7)=0,0,(C58)/(C7))</t>
        </is>
      </c>
    </row>
    <row r="82">
      <c r="A82" s="20" t="inlineStr">
        <is>
          <t>Tilskot</t>
        </is>
      </c>
      <c r="B82" s="21" t="inlineStr">
        <is>
          <t>Utrekna</t>
        </is>
      </c>
      <c r="C82" s="38">
        <f>IF((C7)=0,0,(C25)/(C7))</f>
        <v/>
      </c>
      <c r="D82" s="12" t="inlineStr">
        <is>
          <t>kr</t>
        </is>
      </c>
      <c r="E82" s="23" t="inlineStr">
        <is>
          <t>Tilskot = Produksjonstilskot fordelt på produksjonen [C25] ÷ Tal ammekyr [C7]</t>
        </is>
      </c>
      <c r="F82" s="24" t="inlineStr">
        <is>
          <t>=IF((C7)=0,0,(C25)/(C7))</t>
        </is>
      </c>
    </row>
    <row r="83">
      <c r="A83" s="20" t="inlineStr">
        <is>
          <t>DB med tilskot</t>
        </is>
      </c>
      <c r="B83" s="21" t="inlineStr">
        <is>
          <t>Utrekna</t>
        </is>
      </c>
      <c r="C83" s="38">
        <f>IF((C7)=0,0,(C59)/(C7))</f>
        <v/>
      </c>
      <c r="D83" s="12" t="inlineStr">
        <is>
          <t>kr</t>
        </is>
      </c>
      <c r="E83" s="23" t="inlineStr">
        <is>
          <t>DB med tilskot = Dekningsbidrag (DB) med tilskot [C59] ÷ Tal ammekyr [C7]</t>
        </is>
      </c>
      <c r="F83" s="24" t="inlineStr">
        <is>
          <t>=IF((C7)=0,0,(C59)/(C7))</t>
        </is>
      </c>
    </row>
    <row r="84">
      <c r="A84" s="20" t="inlineStr">
        <is>
          <t>Maskinkostnader</t>
        </is>
      </c>
      <c r="B84" s="21" t="inlineStr">
        <is>
          <t>Utrekna</t>
        </is>
      </c>
      <c r="C84" s="38">
        <f>IF((C7)=0,0,(C49)/(C7))</f>
        <v/>
      </c>
      <c r="D84" s="12" t="inlineStr">
        <is>
          <t>kr</t>
        </is>
      </c>
      <c r="E84" s="23" t="inlineStr">
        <is>
          <t>Maskinkostnader = Maskinkostnader fordelt [C49] ÷ Tal ammekyr [C7]</t>
        </is>
      </c>
      <c r="F84" s="24" t="inlineStr">
        <is>
          <t>=IF((C7)=0,0,(C49)/(C7))</t>
        </is>
      </c>
    </row>
    <row r="85">
      <c r="A85" s="20" t="inlineStr">
        <is>
          <t>Innandørsmekanisering</t>
        </is>
      </c>
      <c r="B85" s="21" t="inlineStr">
        <is>
          <t>Utrekna</t>
        </is>
      </c>
      <c r="C85" s="38">
        <f>IF((C7)=0,0,(C50)/(C7))</f>
        <v/>
      </c>
      <c r="D85" s="12" t="inlineStr">
        <is>
          <t>kr</t>
        </is>
      </c>
      <c r="E85" s="23" t="inlineStr">
        <is>
          <t>Innandørsmekanisering = Innandørsmekanisering fordelt [C50] ÷ Tal ammekyr [C7]</t>
        </is>
      </c>
      <c r="F85" s="24" t="inlineStr">
        <is>
          <t>=IF((C7)=0,0,(C50)/(C7))</t>
        </is>
      </c>
    </row>
    <row r="86">
      <c r="A86" s="20" t="inlineStr">
        <is>
          <t>DB m/tilskot etter maskin og innandørsmek.</t>
        </is>
      </c>
      <c r="B86" s="21" t="inlineStr">
        <is>
          <t>Utrekna</t>
        </is>
      </c>
      <c r="C86" s="38">
        <f>IF((C7)=0,0,(C60)/(C7))</f>
        <v/>
      </c>
      <c r="D86" s="12" t="inlineStr">
        <is>
          <t>kr</t>
        </is>
      </c>
      <c r="E86" s="23" t="inlineStr">
        <is>
          <t>DB m/tilskot etter maskin og innandørsmek. = DB m/tilskot etter maskin- og innandørskostnad [C60] ÷ Tal ammekyr [C7]</t>
        </is>
      </c>
      <c r="F86" s="24" t="inlineStr">
        <is>
          <t>=IF((C7)=0,0,(C60)/(C7))</t>
        </is>
      </c>
    </row>
    <row r="87">
      <c r="A87" s="18" t="inlineStr">
        <is>
          <t>6. OUTPUT – Nøkkeltal</t>
        </is>
      </c>
      <c r="B87" s="19" t="n"/>
      <c r="C87" s="19" t="n"/>
      <c r="D87" s="19" t="n"/>
      <c r="E87" s="19" t="n"/>
      <c r="F87" s="19" t="n"/>
    </row>
    <row r="88">
      <c r="A88" s="25" t="inlineStr">
        <is>
          <t>DB pr ammeku u/tilskot</t>
        </is>
      </c>
      <c r="B88" s="26" t="inlineStr">
        <is>
          <t>Utrekna</t>
        </is>
      </c>
      <c r="C88" s="39">
        <f>IF((C7)=0,0,(C58)/(C7))</f>
        <v/>
      </c>
      <c r="D88" s="28" t="inlineStr">
        <is>
          <t>kr</t>
        </is>
      </c>
      <c r="E88" s="29" t="inlineStr">
        <is>
          <t>DB pr ammeku u/tilskot = Dekningsbidrag (DB) utan tilskot [C58] ÷ Tal ammekyr [C7]</t>
        </is>
      </c>
      <c r="F88" s="30" t="inlineStr">
        <is>
          <t>=IF((C7)=0,0,(C58)/(C7))</t>
        </is>
      </c>
    </row>
    <row r="89">
      <c r="A89" s="25" t="inlineStr">
        <is>
          <t>DB pr ammeku m/tilskot</t>
        </is>
      </c>
      <c r="B89" s="26" t="inlineStr">
        <is>
          <t>Utrekna</t>
        </is>
      </c>
      <c r="C89" s="39">
        <f>IF((C7)=0,0,(C59)/(C7))</f>
        <v/>
      </c>
      <c r="D89" s="28" t="inlineStr">
        <is>
          <t>kr</t>
        </is>
      </c>
      <c r="E89" s="29" t="inlineStr">
        <is>
          <t>DB pr ammeku m/tilskot = Dekningsbidrag (DB) med tilskot [C59] ÷ Tal ammekyr [C7]</t>
        </is>
      </c>
      <c r="F89" s="30" t="inlineStr">
        <is>
          <t>=IF((C7)=0,0,(C59)/(C7))</t>
        </is>
      </c>
    </row>
    <row r="90">
      <c r="A90" s="25" t="inlineStr">
        <is>
          <t>DB pr dekar grovfôr u/tilskot</t>
        </is>
      </c>
      <c r="B90" s="26" t="inlineStr">
        <is>
          <t>Utrekna</t>
        </is>
      </c>
      <c r="C90" s="39">
        <f>IF(('Grovfôr'!C21*IF(('Grovfôr'!C38)=0,0,(C55)/('Grovfôr'!C38)))=0,0,(C58)/('Grovfôr'!C21*IF(('Grovfôr'!C38)=0,0,(C55)/('Grovfôr'!C38))))</f>
        <v/>
      </c>
      <c r="D90" s="28" t="inlineStr">
        <is>
          <t>kr</t>
        </is>
      </c>
      <c r="E90" s="29" t="inlineStr">
        <is>
          <t>DB pr dekar grovfôr u/tilskot = Dekningsbidrag (DB) utan tilskot [C58] ÷ (Korrigert grovfôrareal (overflate/1,25 + fulldyrka + kulturbeite/2,5) [Grovfôr!C21] × Sum eigen grovfôrproduksjon (utan lagerendring) [C55] ÷ Sum eigen grovfôrkostnad (fordelingsnøkkel areal) [Grovfôr!C38])   (Grovfôrarealet blir fordelt etter produksjonen sin del av eigen grovfôrkostnad)</t>
        </is>
      </c>
      <c r="F90" s="30" t="inlineStr">
        <is>
          <t>=IF(('Grovfôr'!C21*IF(('Grovfôr'!C38)=0,0,(C55)/('Grovfôr'!C38)))=0,0,(C58)/('Grovfôr'!C21*IF(('Grovfôr'!C38)=0,0,(C55)/('Grovfôr'!C38))))</t>
        </is>
      </c>
    </row>
    <row r="91">
      <c r="A91" s="25" t="inlineStr">
        <is>
          <t>DB pr dekar grovfôr m/tilskot</t>
        </is>
      </c>
      <c r="B91" s="26" t="inlineStr">
        <is>
          <t>Utrekna</t>
        </is>
      </c>
      <c r="C91" s="39">
        <f>IF(('Grovfôr'!C21*IF(('Grovfôr'!C38)=0,0,(C55)/('Grovfôr'!C38)))=0,0,(C59)/('Grovfôr'!C21*IF(('Grovfôr'!C38)=0,0,(C55)/('Grovfôr'!C38))))</f>
        <v/>
      </c>
      <c r="D91" s="28" t="inlineStr">
        <is>
          <t>kr</t>
        </is>
      </c>
      <c r="E91" s="29" t="inlineStr">
        <is>
          <t>DB pr dekar grovfôr m/tilskot = Dekningsbidrag (DB) med tilskot [C59] ÷ (Korrigert grovfôrareal (overflate/1,25 + fulldyrka + kulturbeite/2,5) [Grovfôr!C21] × Sum eigen grovfôrproduksjon (utan lagerendring) [C55] ÷ Sum eigen grovfôrkostnad (fordelingsnøkkel areal) [Grovfôr!C38])</t>
        </is>
      </c>
      <c r="F91" s="30" t="inlineStr">
        <is>
          <t>=IF(('Grovfôr'!C21*IF(('Grovfôr'!C38)=0,0,(C55)/('Grovfôr'!C38)))=0,0,(C59)/('Grovfôr'!C21*IF(('Grovfôr'!C38)=0,0,(C55)/('Grovfôr'!C38))))</t>
        </is>
      </c>
    </row>
    <row r="92">
      <c r="A92" s="25" t="inlineStr">
        <is>
          <t>Variabel grovfôrkostnad pr dekar</t>
        </is>
      </c>
      <c r="B92" s="26" t="inlineStr">
        <is>
          <t>Lenkje frå anna ark</t>
        </is>
      </c>
      <c r="C92" s="40">
        <f>'Grovfôr'!C52</f>
        <v/>
      </c>
      <c r="D92" s="28" t="inlineStr">
        <is>
          <t>kr</t>
        </is>
      </c>
      <c r="E92" s="29" t="inlineStr">
        <is>
          <t>Variabel grovfôrkostnad pr dekar = Variabel grovfôrkostnad pr korrigert dekar [Grovfôr!C52]</t>
        </is>
      </c>
      <c r="F92" s="30" t="inlineStr">
        <is>
          <t>='Grovfôr'!C52</t>
        </is>
      </c>
    </row>
    <row r="93">
      <c r="A93" s="25" t="inlineStr">
        <is>
          <t>Maskinkostnader pr dekar grovfôr</t>
        </is>
      </c>
      <c r="B93" s="26" t="inlineStr">
        <is>
          <t>Lenkje frå anna ark</t>
        </is>
      </c>
      <c r="C93" s="40">
        <f>'Grovfôr'!C53</f>
        <v/>
      </c>
      <c r="D93" s="28" t="inlineStr">
        <is>
          <t>kr</t>
        </is>
      </c>
      <c r="E93" s="29" t="inlineStr">
        <is>
          <t>Maskinkostnader pr dekar grovfôr = Maskinkostnader pr dekar grovfôr [Grovfôr!C53]</t>
        </is>
      </c>
      <c r="F93" s="30" t="inlineStr">
        <is>
          <t>='Grovfôr'!C53</t>
        </is>
      </c>
    </row>
    <row r="94">
      <c r="A94" s="25" t="inlineStr">
        <is>
          <t>Korrigerte dekar pr «kueining»</t>
        </is>
      </c>
      <c r="B94" s="26" t="inlineStr">
        <is>
          <t>Lenkje frå anna ark</t>
        </is>
      </c>
      <c r="C94" s="40">
        <f>'Grovfôr'!C54</f>
        <v/>
      </c>
      <c r="D94" s="28" t="inlineStr">
        <is>
          <t>da</t>
        </is>
      </c>
      <c r="E94" s="29" t="inlineStr">
        <is>
          <t>Korrigerte dekar pr «kueining» = Korrigerte dekar pr «kueining» [Grovfôr!C54]</t>
        </is>
      </c>
      <c r="F94" s="30" t="inlineStr">
        <is>
          <t>='Grovfôr'!C54</t>
        </is>
      </c>
    </row>
    <row r="95">
      <c r="A95" s="25" t="inlineStr">
        <is>
          <t>Innandørsmekanisering pr ammeku</t>
        </is>
      </c>
      <c r="B95" s="26" t="inlineStr">
        <is>
          <t>Utrekna</t>
        </is>
      </c>
      <c r="C95" s="39">
        <f>IF((C7)=0,0,(C50)/(C7))</f>
        <v/>
      </c>
      <c r="D95" s="28" t="inlineStr">
        <is>
          <t>kr</t>
        </is>
      </c>
      <c r="E95" s="29" t="inlineStr">
        <is>
          <t>Innandørsmekanisering pr ammeku = Innandørsmekanisering fordelt [C50] ÷ Tal ammekyr [C7]</t>
        </is>
      </c>
      <c r="F95" s="30" t="inlineStr">
        <is>
          <t>=IF((C7)=0,0,(C50)/(C7))</t>
        </is>
      </c>
    </row>
    <row r="96">
      <c r="A96" s="25" t="inlineStr">
        <is>
          <t>Påsettprosent</t>
        </is>
      </c>
      <c r="B96" s="26" t="inlineStr">
        <is>
          <t>Utrekna</t>
        </is>
      </c>
      <c r="C96" s="33">
        <f>C62</f>
        <v/>
      </c>
      <c r="D96" s="28" t="inlineStr">
        <is>
          <t>%</t>
        </is>
      </c>
      <c r="E96" s="29" t="inlineStr">
        <is>
          <t>Påsettprosent = Påsettprosent [C62]</t>
        </is>
      </c>
      <c r="F96" s="30" t="inlineStr">
        <is>
          <t>=C62</t>
        </is>
      </c>
    </row>
    <row r="97">
      <c r="A97" s="25" t="inlineStr">
        <is>
          <t>Snitt slaktevekt kyr (kg)</t>
        </is>
      </c>
      <c r="B97" s="26" t="inlineStr">
        <is>
          <t>Utrekna</t>
        </is>
      </c>
      <c r="C97" s="37">
        <f>IF((C17)=0,0,(C16)/(C17))</f>
        <v/>
      </c>
      <c r="D97" s="28" t="inlineStr">
        <is>
          <t>kg</t>
        </is>
      </c>
      <c r="E97" s="29" t="inlineStr">
        <is>
          <t>Snitt slaktevekt kyr (kg) = Kg slakt kyr [C16] ÷ Tal slakta kyr [C17]</t>
        </is>
      </c>
      <c r="F97" s="30" t="inlineStr">
        <is>
          <t>=IF((C17)=0,0,(C16)/(C17))</t>
        </is>
      </c>
    </row>
    <row r="98">
      <c r="A98" s="25" t="inlineStr">
        <is>
          <t>Nyttbar kalv pr ku</t>
        </is>
      </c>
      <c r="B98" s="26" t="inlineStr">
        <is>
          <t>Utrekna</t>
        </is>
      </c>
      <c r="C98" s="39">
        <f>IF((C7)=0,0,((C9+C11+C13+C15)+C19-C20-(C8+C10+C12+C14))/(C7))</f>
        <v/>
      </c>
      <c r="D98" s="28" t="inlineStr">
        <is>
          <t>stk</t>
        </is>
      </c>
      <c r="E98" s="29" t="inlineStr">
        <is>
          <t>Nyttbar kalv pr ku = ((Ammekyr pr 31.12. [C9] + Avlsokse pr 31.12. [C11] + Ungdyr over 12 md pr 31.12. [C13] + Kalvar/ungdyr under 12 md pr 31.12. [C15]) + Tal dyr slakta / selt til liv [C19] − Tal kjøpte dyr [C20] − (Ammekyr pr 1.1. [C8] + Avlsokse pr 1.1. [C10] + Ungdyr over 12 md pr 1.1. [C12] + Kalvar/ungdyr under 12 md pr 1.1. [C14])) ÷ Tal ammekyr [C7]   ((Dyr 31.12. + slakta/selde – kjøpte – dyr 1.1.) delt på tal ammekyr)</t>
        </is>
      </c>
      <c r="F98" s="30" t="inlineStr">
        <is>
          <t>=IF((C7)=0,0,((C9+C11+C13+C15)+C19-C20-(C8+C10+C12+C14))/(C7))</t>
        </is>
      </c>
    </row>
    <row r="99">
      <c r="A99" s="25" t="inlineStr">
        <is>
          <t>Oppnådd pris pr kg slakt (u/distriktstilskot)</t>
        </is>
      </c>
      <c r="B99" s="26" t="inlineStr">
        <is>
          <t>Utrekna</t>
        </is>
      </c>
      <c r="C99" s="39">
        <f>IF((C18)=0,0,(C27-C30)/(C18))</f>
        <v/>
      </c>
      <c r="D99" s="28" t="inlineStr">
        <is>
          <t>kr</t>
        </is>
      </c>
      <c r="E99" s="29" t="inlineStr">
        <is>
          <t>Oppnådd pris pr kg slakt (u/distriktstilskot) = (Slakt [C27] − Herav distriktstilskot kjøt [C30]) ÷ Kg slakt totalt [C18]</t>
        </is>
      </c>
      <c r="F99" s="30" t="inlineStr">
        <is>
          <t>=IF((C18)=0,0,(C27-C30)/(C18))</t>
        </is>
      </c>
    </row>
    <row r="100">
      <c r="A100" s="25" t="inlineStr">
        <is>
          <t>Analysegruppe (påsett)</t>
        </is>
      </c>
      <c r="B100" s="26" t="inlineStr">
        <is>
          <t>Utrekna</t>
        </is>
      </c>
      <c r="C100" s="41">
        <f>IF(C62&gt;0.5,"Påsett &gt; 50 %","Påsett &lt; 50 %")</f>
        <v/>
      </c>
      <c r="D100" s="28" t="inlineStr">
        <is>
          <t>tekst</t>
        </is>
      </c>
      <c r="E100" s="29" t="inlineStr">
        <is>
          <t>Analysegruppe (påsett) = HVIS(Påsettprosent [C62]&gt;0,5; "Påsett &gt; 50 %"; "Påsett &lt; 50 %")   (Tilsvarar arka «Ammekyr &lt;50%» og «Ammekyr &gt;50%» i eksempelanalysen)</t>
        </is>
      </c>
      <c r="F100" s="30" t="inlineStr">
        <is>
          <t>=IF(C62&gt;0.5,"Påsett &gt; 50 %","Påsett &lt; 50 %")</t>
        </is>
      </c>
    </row>
  </sheetData>
  <pageMargins left="0.75" right="0.75" top="1" bottom="1" header="0.5" footer="0.5"/>
  <pageSetup orientation="landscape" fitToHeight="0" fitToWidth="1"/>
</worksheet>
</file>

<file path=xl/worksheets/sheet19.xml><?xml version="1.0" encoding="utf-8"?>
<worksheet xmlns="http://schemas.openxmlformats.org/spreadsheetml/2006/main">
  <sheetPr>
    <outlinePr summaryBelow="1" summaryRight="1"/>
    <pageSetUpPr fitToPage="1"/>
  </sheetPr>
  <dimension ref="A1:F74"/>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0" customWidth="1" min="1" max="1"/>
    <col width="34" customWidth="1" min="2" max="2"/>
    <col width="16" customWidth="1" min="3" max="3"/>
    <col width="10" customWidth="1" min="4" max="4"/>
    <col width="78" customWidth="1" min="5" max="5"/>
    <col width="46" customWidth="1" min="6" max="6"/>
  </cols>
  <sheetData>
    <row r="1" ht="22" customHeight="1">
      <c r="A1" s="1" t="inlineStr">
        <is>
          <t>Smågris / kombinert svineproduksjon  –  driftsgrein 6200-6242 (utan 6220)</t>
        </is>
      </c>
    </row>
    <row r="2">
      <c r="A2" s="7" t="inlineStr">
        <is>
          <t>Smågris- og kombinert produksjon (driftsgrein 6200–6242, utan 6220).</t>
        </is>
      </c>
    </row>
    <row r="3">
      <c r="A3" s="8" t="inlineStr">
        <is>
          <t>Fargekodar:  blå tal på gul botn = input (skal fyllast inn)   ·   svart = formel   ·   grøn = lenkje frå anna ark.   Alle kronebeløp er positive (inntekt og kostnad).</t>
        </is>
      </c>
    </row>
    <row r="5">
      <c r="A5" s="17" t="inlineStr">
        <is>
          <t>Post</t>
        </is>
      </c>
      <c r="B5" s="17" t="inlineStr">
        <is>
          <t>Kjelde / Tripletex-konto</t>
        </is>
      </c>
      <c r="C5" s="17" t="inlineStr">
        <is>
          <t>Verdi</t>
        </is>
      </c>
      <c r="D5" s="17" t="inlineStr">
        <is>
          <t>Eining</t>
        </is>
      </c>
      <c r="E5" s="17" t="inlineStr">
        <is>
          <t>Formel forklart (korleis outputen blir rekna)</t>
        </is>
      </c>
      <c r="F5" s="17" t="inlineStr">
        <is>
          <t>Excel-formel</t>
        </is>
      </c>
    </row>
    <row r="6">
      <c r="A6" s="18" t="inlineStr">
        <is>
          <t>1. INPUT – Produksjonsdata (frå produksjonstabell / teljingar)</t>
        </is>
      </c>
      <c r="B6" s="19" t="n"/>
      <c r="C6" s="19" t="n"/>
      <c r="D6" s="19" t="n"/>
      <c r="E6" s="19" t="n"/>
      <c r="F6" s="19" t="n"/>
    </row>
    <row r="7">
      <c r="A7" s="20" t="inlineStr">
        <is>
          <t>Tal årspurker</t>
        </is>
      </c>
      <c r="B7" s="24" t="inlineStr">
        <is>
          <t>Produksjonstabell (EnhetAntall)</t>
        </is>
      </c>
      <c r="C7" s="31" t="n">
        <v>40</v>
      </c>
      <c r="D7" s="12" t="inlineStr">
        <is>
          <t>stk</t>
        </is>
      </c>
      <c r="E7" s="24" t="inlineStr">
        <is>
          <t>Input. Hentast frå: Produksjonstabell (EnhetAntall).</t>
        </is>
      </c>
      <c r="F7" s="32" t="n"/>
    </row>
    <row r="8">
      <c r="A8" s="20" t="inlineStr">
        <is>
          <t>Tal kull pr purke</t>
        </is>
      </c>
      <c r="B8" s="24" t="inlineStr">
        <is>
          <t>Ingris / produksjonstabell</t>
        </is>
      </c>
      <c r="C8" s="42" t="n">
        <v>2.2</v>
      </c>
      <c r="D8" s="12" t="inlineStr">
        <is>
          <t>stk</t>
        </is>
      </c>
      <c r="E8" s="24" t="inlineStr">
        <is>
          <t>Input. Hentast frå: Ingris / produksjonstabell.</t>
        </is>
      </c>
      <c r="F8" s="32" t="n"/>
    </row>
    <row r="9">
      <c r="A9" s="20" t="inlineStr">
        <is>
          <t>Bingeareal</t>
        </is>
      </c>
      <c r="B9" s="24" t="inlineStr">
        <is>
          <t>Mengde 1 på 1040-1044</t>
        </is>
      </c>
      <c r="C9" s="31" t="n">
        <v>400</v>
      </c>
      <c r="D9" s="12" t="inlineStr">
        <is>
          <t>m²</t>
        </is>
      </c>
      <c r="E9" s="24" t="inlineStr">
        <is>
          <t>Input. Hentast frå: Mengde 1 på 1040-1044.</t>
        </is>
      </c>
      <c r="F9" s="32" t="n"/>
    </row>
    <row r="10">
      <c r="A10" s="20" t="inlineStr">
        <is>
          <t>Tal gris pr 1.1.</t>
        </is>
      </c>
      <c r="B10" s="24" t="inlineStr">
        <is>
          <t>1453.20 (IB)</t>
        </is>
      </c>
      <c r="C10" s="31" t="n">
        <v>450</v>
      </c>
      <c r="D10" s="12" t="inlineStr">
        <is>
          <t>stk</t>
        </is>
      </c>
      <c r="E10" s="24" t="inlineStr">
        <is>
          <t>Input. Hentast frå: 1453.20 (IB).</t>
        </is>
      </c>
      <c r="F10" s="32" t="n"/>
    </row>
    <row r="11">
      <c r="A11" s="20" t="inlineStr">
        <is>
          <t>Tal gris pr 31.12.</t>
        </is>
      </c>
      <c r="B11" s="24" t="inlineStr">
        <is>
          <t>1453.20 (UB)</t>
        </is>
      </c>
      <c r="C11" s="31" t="n">
        <v>470</v>
      </c>
      <c r="D11" s="12" t="inlineStr">
        <is>
          <t>stk</t>
        </is>
      </c>
      <c r="E11" s="24" t="inlineStr">
        <is>
          <t>Input. Hentast frå: 1453.20 (UB).</t>
        </is>
      </c>
      <c r="F11" s="32" t="n"/>
    </row>
    <row r="12">
      <c r="A12" s="20" t="inlineStr">
        <is>
          <t>Tal slaktegris levert</t>
        </is>
      </c>
      <c r="B12" s="24" t="inlineStr">
        <is>
          <t>Mengde 1 på 3043 (.535–.538)</t>
        </is>
      </c>
      <c r="C12" s="31" t="n">
        <v>700</v>
      </c>
      <c r="D12" s="12" t="inlineStr">
        <is>
          <t>stk</t>
        </is>
      </c>
      <c r="E12" s="24" t="inlineStr">
        <is>
          <t>Input. Hentast frå: Mengde 1 på 3043 (.535–.538).</t>
        </is>
      </c>
      <c r="F12" s="32" t="n"/>
    </row>
    <row r="13">
      <c r="A13" s="20" t="inlineStr">
        <is>
          <t>Tal smågris selt</t>
        </is>
      </c>
      <c r="B13" s="24" t="inlineStr">
        <is>
          <t>Mengde 1 på 3053 (.534)</t>
        </is>
      </c>
      <c r="C13" s="31" t="n">
        <v>120</v>
      </c>
      <c r="D13" s="12" t="inlineStr">
        <is>
          <t>stk</t>
        </is>
      </c>
      <c r="E13" s="24" t="inlineStr">
        <is>
          <t>Input. Hentast frå: Mengde 1 på 3053 (.534).</t>
        </is>
      </c>
      <c r="F13" s="32" t="n"/>
    </row>
    <row r="14">
      <c r="A14" s="20" t="inlineStr">
        <is>
          <t>Tal kjøpte smågris</t>
        </is>
      </c>
      <c r="B14" s="24" t="inlineStr">
        <is>
          <t>Mengde 1 på 4630</t>
        </is>
      </c>
      <c r="C14" s="31" t="n">
        <v>0</v>
      </c>
      <c r="D14" s="12" t="inlineStr">
        <is>
          <t>stk</t>
        </is>
      </c>
      <c r="E14" s="24" t="inlineStr">
        <is>
          <t>Input. Hentast frå: Mengde 1 på 4630.</t>
        </is>
      </c>
      <c r="F14" s="32" t="n"/>
    </row>
    <row r="15">
      <c r="A15" s="20" t="inlineStr">
        <is>
          <t>Kg slakt</t>
        </is>
      </c>
      <c r="B15" s="24" t="inlineStr">
        <is>
          <t>Mengde 2 på 3043</t>
        </is>
      </c>
      <c r="C15" s="31" t="n">
        <v>57400</v>
      </c>
      <c r="D15" s="12" t="inlineStr">
        <is>
          <t>kg</t>
        </is>
      </c>
      <c r="E15" s="24" t="inlineStr">
        <is>
          <t>Input. Hentast frå: Mengde 2 på 3043.</t>
        </is>
      </c>
      <c r="F15" s="32" t="n"/>
    </row>
    <row r="16">
      <c r="A16" s="18" t="inlineStr">
        <is>
          <t>2. INPUT – Rekneskapstal (kr) frå saldobalansen etter korrigeringar</t>
        </is>
      </c>
      <c r="B16" s="19" t="n"/>
      <c r="C16" s="19" t="n"/>
      <c r="D16" s="19" t="n"/>
      <c r="E16" s="19" t="n"/>
      <c r="F16" s="19" t="n"/>
    </row>
    <row r="17">
      <c r="A17" s="20" t="inlineStr">
        <is>
          <t>Produksjonstilskot fordelt på produksjonen</t>
        </is>
      </c>
      <c r="B17" s="24" t="inlineStr">
        <is>
          <t>34xx (ikkje 344x avløysartilskot)</t>
        </is>
      </c>
      <c r="C17" s="31" t="n">
        <v>120000</v>
      </c>
      <c r="D17" s="12" t="inlineStr">
        <is>
          <t>kr</t>
        </is>
      </c>
      <c r="E17" s="24" t="inlineStr">
        <is>
          <t>Input. Hentast frå: 34xx (ikkje 344x avløysartilskot).</t>
        </is>
      </c>
      <c r="F17" s="32" t="n"/>
    </row>
    <row r="18">
      <c r="A18" s="20" t="inlineStr">
        <is>
          <t>Sal av smågris</t>
        </is>
      </c>
      <c r="B18" s="24" t="inlineStr">
        <is>
          <t>3053 (.534)</t>
        </is>
      </c>
      <c r="C18" s="31" t="n">
        <v>156000</v>
      </c>
      <c r="D18" s="12" t="inlineStr">
        <is>
          <t>kr</t>
        </is>
      </c>
      <c r="E18" s="24" t="inlineStr">
        <is>
          <t>Input. Hentast frå: 3053 (.534).</t>
        </is>
      </c>
      <c r="F18" s="32" t="n"/>
    </row>
    <row r="19">
      <c r="A19" s="20" t="inlineStr">
        <is>
          <t>Sal av slaktegris</t>
        </is>
      </c>
      <c r="B19" s="24" t="inlineStr">
        <is>
          <t>3043 (.535–.538), 3162, 3172</t>
        </is>
      </c>
      <c r="C19" s="31" t="n">
        <v>1722000</v>
      </c>
      <c r="D19" s="12" t="inlineStr">
        <is>
          <t>kr</t>
        </is>
      </c>
      <c r="E19" s="24" t="inlineStr">
        <is>
          <t>Input. Hentast frå: 3043 (.535–.538), 3162, 3172.</t>
        </is>
      </c>
      <c r="F19" s="32" t="n"/>
    </row>
    <row r="20">
      <c r="A20" s="20" t="inlineStr">
        <is>
          <t>Purkeslakt</t>
        </is>
      </c>
      <c r="B20" s="24" t="inlineStr">
        <is>
          <t>3043 (.531/.532)</t>
        </is>
      </c>
      <c r="C20" s="31" t="n">
        <v>30000</v>
      </c>
      <c r="D20" s="12" t="inlineStr">
        <is>
          <t>kr</t>
        </is>
      </c>
      <c r="E20" s="24" t="inlineStr">
        <is>
          <t>Input. Hentast frå: 3043 (.531/.532).</t>
        </is>
      </c>
      <c r="F20" s="32" t="n"/>
    </row>
    <row r="21">
      <c r="A21" s="20" t="inlineStr">
        <is>
          <t>Buskap, beholdningsendring (+ = auke)</t>
        </is>
      </c>
      <c r="B21" s="24" t="inlineStr">
        <is>
          <t>4693 (forteikn snudd)</t>
        </is>
      </c>
      <c r="C21" s="31" t="n">
        <v>10000</v>
      </c>
      <c r="D21" s="12" t="inlineStr">
        <is>
          <t>kr</t>
        </is>
      </c>
      <c r="E21" s="24" t="inlineStr">
        <is>
          <t>Input. Hentast frå: 4693 (forteikn snudd).</t>
        </is>
      </c>
      <c r="F21" s="32" t="n"/>
    </row>
    <row r="22">
      <c r="A22" s="20" t="inlineStr">
        <is>
          <t>Andre inntekter</t>
        </is>
      </c>
      <c r="B22" s="24" t="inlineStr">
        <is>
          <t>andre 3xxx</t>
        </is>
      </c>
      <c r="C22" s="31" t="n">
        <v>0</v>
      </c>
      <c r="D22" s="12" t="inlineStr">
        <is>
          <t>kr</t>
        </is>
      </c>
      <c r="E22" s="24" t="inlineStr">
        <is>
          <t>Input. Hentast frå: andre 3xxx.</t>
        </is>
      </c>
      <c r="F22" s="32" t="n"/>
    </row>
    <row r="23">
      <c r="A23" s="18" t="inlineStr">
        <is>
          <t>Variable kostnader</t>
        </is>
      </c>
      <c r="B23" s="19" t="n"/>
      <c r="C23" s="19" t="n"/>
      <c r="D23" s="19" t="n"/>
      <c r="E23" s="19" t="n"/>
      <c r="F23" s="19" t="n"/>
    </row>
    <row r="24">
      <c r="A24" s="20" t="inlineStr">
        <is>
          <t>Kraftfôr mm.</t>
        </is>
      </c>
      <c r="B24" s="24" t="inlineStr">
        <is>
          <t>4020-4029, 4040-4049, 4092, 4094</t>
        </is>
      </c>
      <c r="C24" s="31" t="n">
        <v>1250000</v>
      </c>
      <c r="D24" s="12" t="inlineStr">
        <is>
          <t>kr</t>
        </is>
      </c>
      <c r="E24" s="24" t="inlineStr">
        <is>
          <t>Input. Hentast frå: 4020-4029, 4040-4049, 4092, 4094.</t>
        </is>
      </c>
      <c r="F24" s="32" t="n"/>
    </row>
    <row r="25">
      <c r="A25" s="20" t="inlineStr">
        <is>
          <t>Veterinær, medisin, inseminering</t>
        </is>
      </c>
      <c r="B25" s="24" t="inlineStr">
        <is>
          <t>4120, 4192, 4520-4529</t>
        </is>
      </c>
      <c r="C25" s="31" t="n">
        <v>90000</v>
      </c>
      <c r="D25" s="12" t="inlineStr">
        <is>
          <t>kr</t>
        </is>
      </c>
      <c r="E25" s="24" t="inlineStr">
        <is>
          <t>Input. Hentast frå: 4120, 4192, 4520-4529.</t>
        </is>
      </c>
      <c r="F25" s="32" t="n"/>
    </row>
    <row r="26">
      <c r="A26" s="20" t="inlineStr">
        <is>
          <t>Innkjøp dyr</t>
        </is>
      </c>
      <c r="B26" s="24" t="inlineStr">
        <is>
          <t>4600-4689</t>
        </is>
      </c>
      <c r="C26" s="31" t="n">
        <v>40000</v>
      </c>
      <c r="D26" s="12" t="inlineStr">
        <is>
          <t>kr</t>
        </is>
      </c>
      <c r="E26" s="24" t="inlineStr">
        <is>
          <t>Input. Hentast frå: 4600-4689.</t>
        </is>
      </c>
      <c r="F26" s="32" t="n"/>
    </row>
    <row r="27">
      <c r="A27" s="20" t="inlineStr">
        <is>
          <t>Andre variable kostnader</t>
        </is>
      </c>
      <c r="B27" s="24" t="inlineStr">
        <is>
          <t>4130-4139, 4193, 4530-4549, 4560-4569 + andre 4xxx</t>
        </is>
      </c>
      <c r="C27" s="31" t="n">
        <v>150000</v>
      </c>
      <c r="D27" s="12" t="inlineStr">
        <is>
          <t>kr</t>
        </is>
      </c>
      <c r="E27" s="24" t="inlineStr">
        <is>
          <t>Input. Hentast frå: 4130-4139, 4193, 4530-4549, 4560-4569 + andre 4xxx.</t>
        </is>
      </c>
      <c r="F27" s="32" t="n"/>
    </row>
    <row r="28">
      <c r="A28" s="18" t="inlineStr">
        <is>
          <t>3. INPUT – Fordelte faste kostnader (lenka frå arket «Faste kostnader»)</t>
        </is>
      </c>
      <c r="B28" s="19" t="n"/>
      <c r="C28" s="19" t="n"/>
      <c r="D28" s="19" t="n"/>
      <c r="E28" s="19" t="n"/>
      <c r="F28" s="19" t="n"/>
    </row>
    <row r="29">
      <c r="A29" s="20" t="inlineStr">
        <is>
          <t>Maskinkostnader fordelt</t>
        </is>
      </c>
      <c r="B29" s="21" t="inlineStr">
        <is>
          <t>Lenkje frå anna ark</t>
        </is>
      </c>
      <c r="C29" s="13">
        <f>'Faste kostnader'!C50</f>
        <v/>
      </c>
      <c r="D29" s="12" t="inlineStr">
        <is>
          <t>kr</t>
        </is>
      </c>
      <c r="E29" s="23" t="inlineStr">
        <is>
          <t>Maskinkostnader fordelt = Maskinkostnader – Smågris [Faste kostnader!C50]</t>
        </is>
      </c>
      <c r="F29" s="24" t="inlineStr">
        <is>
          <t>='Faste kostnader'!C50</t>
        </is>
      </c>
    </row>
    <row r="30">
      <c r="A30" s="20" t="inlineStr">
        <is>
          <t>Innandørsmekanisering fordelt</t>
        </is>
      </c>
      <c r="B30" s="21" t="inlineStr">
        <is>
          <t>Lenkje frå anna ark</t>
        </is>
      </c>
      <c r="C30" s="13">
        <f>'Faste kostnader'!C81</f>
        <v/>
      </c>
      <c r="D30" s="12" t="inlineStr">
        <is>
          <t>kr</t>
        </is>
      </c>
      <c r="E30" s="23" t="inlineStr">
        <is>
          <t>Innandørsmekanisering fordelt = Innandørsmekanisering – Smågris [Faste kostnader!C81]</t>
        </is>
      </c>
      <c r="F30" s="24" t="inlineStr">
        <is>
          <t>='Faste kostnader'!C81</t>
        </is>
      </c>
    </row>
    <row r="31">
      <c r="A31" s="18" t="inlineStr">
        <is>
          <t>4. UTREKNING – Totalt for produksjonen</t>
        </is>
      </c>
      <c r="B31" s="19" t="n"/>
      <c r="C31" s="19" t="n"/>
      <c r="D31" s="19" t="n"/>
      <c r="E31" s="19" t="n"/>
      <c r="F31" s="19" t="n"/>
    </row>
    <row r="32">
      <c r="A32" s="20" t="inlineStr">
        <is>
          <t>Produksjonsinntekter i alt</t>
        </is>
      </c>
      <c r="B32" s="21" t="inlineStr">
        <is>
          <t>Utrekna</t>
        </is>
      </c>
      <c r="C32" s="22">
        <f>C18+C19+C20+C21+C22</f>
        <v/>
      </c>
      <c r="D32" s="12" t="inlineStr">
        <is>
          <t>kr</t>
        </is>
      </c>
      <c r="E32" s="23" t="inlineStr">
        <is>
          <t>Produksjonsinntekter i alt = Sal av smågris [C18] + Sal av slaktegris [C19] + Purkeslakt [C20] + Buskap, beholdningsendring (+ = auke) [C21] + Andre inntekter [C22]</t>
        </is>
      </c>
      <c r="F32" s="24" t="inlineStr">
        <is>
          <t>=C18+C19+C20+C21+C22</t>
        </is>
      </c>
    </row>
    <row r="33">
      <c r="A33" s="20" t="inlineStr">
        <is>
          <t>Variable kostnader i alt</t>
        </is>
      </c>
      <c r="B33" s="21" t="inlineStr">
        <is>
          <t>Utrekna</t>
        </is>
      </c>
      <c r="C33" s="22">
        <f>C24+C25+C26+C27</f>
        <v/>
      </c>
      <c r="D33" s="12" t="inlineStr">
        <is>
          <t>kr</t>
        </is>
      </c>
      <c r="E33" s="23" t="inlineStr">
        <is>
          <t>Variable kostnader i alt = Kraftfôr mm. [C24] + Veterinær, medisin, inseminering [C25] + Innkjøp dyr [C26] + Andre variable kostnader [C27]</t>
        </is>
      </c>
      <c r="F33" s="24" t="inlineStr">
        <is>
          <t>=C24+C25+C26+C27</t>
        </is>
      </c>
    </row>
    <row r="34">
      <c r="A34" s="25" t="inlineStr">
        <is>
          <t>Dekningsbidrag (DB) utan tilskot</t>
        </is>
      </c>
      <c r="B34" s="26" t="inlineStr">
        <is>
          <t>Utrekna</t>
        </is>
      </c>
      <c r="C34" s="27">
        <f>C32-C33</f>
        <v/>
      </c>
      <c r="D34" s="28" t="inlineStr">
        <is>
          <t>kr</t>
        </is>
      </c>
      <c r="E34" s="29" t="inlineStr">
        <is>
          <t>Dekningsbidrag (DB) utan tilskot = Produksjonsinntekter i alt [C32] − Variable kostnader i alt [C33]</t>
        </is>
      </c>
      <c r="F34" s="30" t="inlineStr">
        <is>
          <t>=C32-C33</t>
        </is>
      </c>
    </row>
    <row r="35">
      <c r="A35" s="25" t="inlineStr">
        <is>
          <t>Dekningsbidrag (DB) med tilskot</t>
        </is>
      </c>
      <c r="B35" s="26" t="inlineStr">
        <is>
          <t>Utrekna</t>
        </is>
      </c>
      <c r="C35" s="27">
        <f>C34+C17</f>
        <v/>
      </c>
      <c r="D35" s="28" t="inlineStr">
        <is>
          <t>kr</t>
        </is>
      </c>
      <c r="E35" s="29" t="inlineStr">
        <is>
          <t>Dekningsbidrag (DB) med tilskot = Dekningsbidrag (DB) utan tilskot [C34] + Produksjonstilskot fordelt på produksjonen [C17]</t>
        </is>
      </c>
      <c r="F35" s="30" t="inlineStr">
        <is>
          <t>=C34+C17</t>
        </is>
      </c>
    </row>
    <row r="36">
      <c r="A36" s="20" t="inlineStr">
        <is>
          <t>DB m/tilskot etter maskin- og innandørskostnad</t>
        </is>
      </c>
      <c r="B36" s="21" t="inlineStr">
        <is>
          <t>Utrekna</t>
        </is>
      </c>
      <c r="C36" s="22">
        <f>C35-C29-C30</f>
        <v/>
      </c>
      <c r="D36" s="12" t="inlineStr">
        <is>
          <t>kr</t>
        </is>
      </c>
      <c r="E36" s="23" t="inlineStr">
        <is>
          <t>DB m/tilskot etter maskin- og innandørskostnad = Dekningsbidrag (DB) med tilskot [C35] − Maskinkostnader fordelt [C29] − Innandørsmekanisering fordelt [C30]</t>
        </is>
      </c>
      <c r="F36" s="24" t="inlineStr">
        <is>
          <t>=C35-C29-C30</t>
        </is>
      </c>
    </row>
    <row r="37">
      <c r="A37" s="20" t="inlineStr">
        <is>
          <t>Tal kull</t>
        </is>
      </c>
      <c r="B37" s="21" t="inlineStr">
        <is>
          <t>Utrekna</t>
        </is>
      </c>
      <c r="C37" s="36">
        <f>C7*C8</f>
        <v/>
      </c>
      <c r="D37" s="12" t="inlineStr">
        <is>
          <t>stk</t>
        </is>
      </c>
      <c r="E37" s="23" t="inlineStr">
        <is>
          <t>Tal kull = Tal årspurker [C7] × Tal kull pr purke [C8]</t>
        </is>
      </c>
      <c r="F37" s="24" t="inlineStr">
        <is>
          <t>=C7*C8</t>
        </is>
      </c>
    </row>
    <row r="38">
      <c r="A38" s="20" t="inlineStr">
        <is>
          <t>Produsert tal gris</t>
        </is>
      </c>
      <c r="B38" s="21" t="inlineStr">
        <is>
          <t>Utrekna</t>
        </is>
      </c>
      <c r="C38" s="22">
        <f>C12+C13-C14+C11-C10</f>
        <v/>
      </c>
      <c r="D38" s="12" t="inlineStr">
        <is>
          <t>stk</t>
        </is>
      </c>
      <c r="E38" s="23" t="inlineStr">
        <is>
          <t>Produsert tal gris = Tal slaktegris levert [C12] + Tal smågris selt [C13] − Tal kjøpte smågris [C14] + Tal gris pr 31.12. [C11] − Tal gris pr 1.1. [C10]</t>
        </is>
      </c>
      <c r="F38" s="24" t="inlineStr">
        <is>
          <t>=C12+C13-C14+C11-C10</t>
        </is>
      </c>
    </row>
    <row r="39">
      <c r="A39" s="18" t="inlineStr">
        <is>
          <t>5. OUTPUT – Per eining (pr årspurke)</t>
        </is>
      </c>
      <c r="B39" s="19" t="n"/>
      <c r="C39" s="19" t="n"/>
      <c r="D39" s="19" t="n"/>
      <c r="E39" s="19" t="n"/>
      <c r="F39" s="19" t="n"/>
    </row>
    <row r="40">
      <c r="A40" s="18" t="inlineStr">
        <is>
          <t>Produksjonsinntekter pr årspurke</t>
        </is>
      </c>
      <c r="B40" s="19" t="n"/>
      <c r="C40" s="19" t="n"/>
      <c r="D40" s="19" t="n"/>
      <c r="E40" s="19" t="n"/>
      <c r="F40" s="19" t="n"/>
    </row>
    <row r="41">
      <c r="A41" s="20" t="inlineStr">
        <is>
          <t>Sal av smågris</t>
        </is>
      </c>
      <c r="B41" s="21" t="inlineStr">
        <is>
          <t>Utrekna</t>
        </is>
      </c>
      <c r="C41" s="38">
        <f>IF((C7)=0,0,(C18)/(C7))</f>
        <v/>
      </c>
      <c r="D41" s="12" t="inlineStr">
        <is>
          <t>kr</t>
        </is>
      </c>
      <c r="E41" s="23" t="inlineStr">
        <is>
          <t>Sal av smågris = Sal av smågris [C18] ÷ Tal årspurker [C7]</t>
        </is>
      </c>
      <c r="F41" s="24" t="inlineStr">
        <is>
          <t>=IF((C7)=0,0,(C18)/(C7))</t>
        </is>
      </c>
    </row>
    <row r="42">
      <c r="A42" s="20" t="inlineStr">
        <is>
          <t>Sal av slaktegris</t>
        </is>
      </c>
      <c r="B42" s="21" t="inlineStr">
        <is>
          <t>Utrekna</t>
        </is>
      </c>
      <c r="C42" s="38">
        <f>IF((C7)=0,0,(C19)/(C7))</f>
        <v/>
      </c>
      <c r="D42" s="12" t="inlineStr">
        <is>
          <t>kr</t>
        </is>
      </c>
      <c r="E42" s="23" t="inlineStr">
        <is>
          <t>Sal av slaktegris = Sal av slaktegris [C19] ÷ Tal årspurker [C7]</t>
        </is>
      </c>
      <c r="F42" s="24" t="inlineStr">
        <is>
          <t>=IF((C7)=0,0,(C19)/(C7))</t>
        </is>
      </c>
    </row>
    <row r="43">
      <c r="A43" s="20" t="inlineStr">
        <is>
          <t>Purkeslakt</t>
        </is>
      </c>
      <c r="B43" s="21" t="inlineStr">
        <is>
          <t>Utrekna</t>
        </is>
      </c>
      <c r="C43" s="38">
        <f>IF((C7)=0,0,(C20)/(C7))</f>
        <v/>
      </c>
      <c r="D43" s="12" t="inlineStr">
        <is>
          <t>kr</t>
        </is>
      </c>
      <c r="E43" s="23" t="inlineStr">
        <is>
          <t>Purkeslakt = Purkeslakt [C20] ÷ Tal årspurker [C7]</t>
        </is>
      </c>
      <c r="F43" s="24" t="inlineStr">
        <is>
          <t>=IF((C7)=0,0,(C20)/(C7))</t>
        </is>
      </c>
    </row>
    <row r="44">
      <c r="A44" s="20" t="inlineStr">
        <is>
          <t>Buskap, beholdningsendring (+ = auke)</t>
        </is>
      </c>
      <c r="B44" s="21" t="inlineStr">
        <is>
          <t>Utrekna</t>
        </is>
      </c>
      <c r="C44" s="38">
        <f>IF((C7)=0,0,(C21)/(C7))</f>
        <v/>
      </c>
      <c r="D44" s="12" t="inlineStr">
        <is>
          <t>kr</t>
        </is>
      </c>
      <c r="E44" s="23" t="inlineStr">
        <is>
          <t>Buskap, beholdningsendring (+ = auke) = Buskap, beholdningsendring (+ = auke) [C21] ÷ Tal årspurker [C7]</t>
        </is>
      </c>
      <c r="F44" s="24" t="inlineStr">
        <is>
          <t>=IF((C7)=0,0,(C21)/(C7))</t>
        </is>
      </c>
    </row>
    <row r="45">
      <c r="A45" s="20" t="inlineStr">
        <is>
          <t>Andre inntekter</t>
        </is>
      </c>
      <c r="B45" s="21" t="inlineStr">
        <is>
          <t>Utrekna</t>
        </is>
      </c>
      <c r="C45" s="38">
        <f>IF((C7)=0,0,(C22)/(C7))</f>
        <v/>
      </c>
      <c r="D45" s="12" t="inlineStr">
        <is>
          <t>kr</t>
        </is>
      </c>
      <c r="E45" s="23" t="inlineStr">
        <is>
          <t>Andre inntekter = Andre inntekter [C22] ÷ Tal årspurker [C7]</t>
        </is>
      </c>
      <c r="F45" s="24" t="inlineStr">
        <is>
          <t>=IF((C7)=0,0,(C22)/(C7))</t>
        </is>
      </c>
    </row>
    <row r="46">
      <c r="A46" s="20" t="inlineStr">
        <is>
          <t>Produksjonsinntekter i alt</t>
        </is>
      </c>
      <c r="B46" s="21" t="inlineStr">
        <is>
          <t>Utrekna</t>
        </is>
      </c>
      <c r="C46" s="38">
        <f>IF((C7)=0,0,(C32)/(C7))</f>
        <v/>
      </c>
      <c r="D46" s="12" t="inlineStr">
        <is>
          <t>kr</t>
        </is>
      </c>
      <c r="E46" s="23" t="inlineStr">
        <is>
          <t>Produksjonsinntekter i alt = Produksjonsinntekter i alt [C32] ÷ Tal årspurker [C7]</t>
        </is>
      </c>
      <c r="F46" s="24" t="inlineStr">
        <is>
          <t>=IF((C7)=0,0,(C32)/(C7))</t>
        </is>
      </c>
    </row>
    <row r="47">
      <c r="A47" s="18" t="inlineStr">
        <is>
          <t>Variable kostnader pr årspurke</t>
        </is>
      </c>
      <c r="B47" s="19" t="n"/>
      <c r="C47" s="19" t="n"/>
      <c r="D47" s="19" t="n"/>
      <c r="E47" s="19" t="n"/>
      <c r="F47" s="19" t="n"/>
    </row>
    <row r="48">
      <c r="A48" s="20" t="inlineStr">
        <is>
          <t>Kraftfôr mm.</t>
        </is>
      </c>
      <c r="B48" s="21" t="inlineStr">
        <is>
          <t>Utrekna</t>
        </is>
      </c>
      <c r="C48" s="38">
        <f>IF((C7)=0,0,(C24)/(C7))</f>
        <v/>
      </c>
      <c r="D48" s="12" t="inlineStr">
        <is>
          <t>kr</t>
        </is>
      </c>
      <c r="E48" s="23" t="inlineStr">
        <is>
          <t>Kraftfôr mm. = Kraftfôr mm. [C24] ÷ Tal årspurker [C7]</t>
        </is>
      </c>
      <c r="F48" s="24" t="inlineStr">
        <is>
          <t>=IF((C7)=0,0,(C24)/(C7))</t>
        </is>
      </c>
    </row>
    <row r="49">
      <c r="A49" s="20" t="inlineStr">
        <is>
          <t>Veterinær, medisin, inseminering</t>
        </is>
      </c>
      <c r="B49" s="21" t="inlineStr">
        <is>
          <t>Utrekna</t>
        </is>
      </c>
      <c r="C49" s="38">
        <f>IF((C7)=0,0,(C25)/(C7))</f>
        <v/>
      </c>
      <c r="D49" s="12" t="inlineStr">
        <is>
          <t>kr</t>
        </is>
      </c>
      <c r="E49" s="23" t="inlineStr">
        <is>
          <t>Veterinær, medisin, inseminering = Veterinær, medisin, inseminering [C25] ÷ Tal årspurker [C7]</t>
        </is>
      </c>
      <c r="F49" s="24" t="inlineStr">
        <is>
          <t>=IF((C7)=0,0,(C25)/(C7))</t>
        </is>
      </c>
    </row>
    <row r="50">
      <c r="A50" s="20" t="inlineStr">
        <is>
          <t>Innkjøp dyr</t>
        </is>
      </c>
      <c r="B50" s="21" t="inlineStr">
        <is>
          <t>Utrekna</t>
        </is>
      </c>
      <c r="C50" s="38">
        <f>IF((C7)=0,0,(C26)/(C7))</f>
        <v/>
      </c>
      <c r="D50" s="12" t="inlineStr">
        <is>
          <t>kr</t>
        </is>
      </c>
      <c r="E50" s="23" t="inlineStr">
        <is>
          <t>Innkjøp dyr = Innkjøp dyr [C26] ÷ Tal årspurker [C7]</t>
        </is>
      </c>
      <c r="F50" s="24" t="inlineStr">
        <is>
          <t>=IF((C7)=0,0,(C26)/(C7))</t>
        </is>
      </c>
    </row>
    <row r="51">
      <c r="A51" s="20" t="inlineStr">
        <is>
          <t>Andre variable kostnader</t>
        </is>
      </c>
      <c r="B51" s="21" t="inlineStr">
        <is>
          <t>Utrekna</t>
        </is>
      </c>
      <c r="C51" s="38">
        <f>IF((C7)=0,0,(C27)/(C7))</f>
        <v/>
      </c>
      <c r="D51" s="12" t="inlineStr">
        <is>
          <t>kr</t>
        </is>
      </c>
      <c r="E51" s="23" t="inlineStr">
        <is>
          <t>Andre variable kostnader = Andre variable kostnader [C27] ÷ Tal årspurker [C7]</t>
        </is>
      </c>
      <c r="F51" s="24" t="inlineStr">
        <is>
          <t>=IF((C7)=0,0,(C27)/(C7))</t>
        </is>
      </c>
    </row>
    <row r="52">
      <c r="A52" s="20" t="inlineStr">
        <is>
          <t>Sum variable kostnader</t>
        </is>
      </c>
      <c r="B52" s="21" t="inlineStr">
        <is>
          <t>Utrekna</t>
        </is>
      </c>
      <c r="C52" s="38">
        <f>IF((C7)=0,0,(C33)/(C7))</f>
        <v/>
      </c>
      <c r="D52" s="12" t="inlineStr">
        <is>
          <t>kr</t>
        </is>
      </c>
      <c r="E52" s="23" t="inlineStr">
        <is>
          <t>Sum variable kostnader = Variable kostnader i alt [C33] ÷ Tal årspurker [C7]</t>
        </is>
      </c>
      <c r="F52" s="24" t="inlineStr">
        <is>
          <t>=IF((C7)=0,0,(C33)/(C7))</t>
        </is>
      </c>
    </row>
    <row r="53">
      <c r="A53" s="18" t="inlineStr">
        <is>
          <t>Resultat pr årspurke</t>
        </is>
      </c>
      <c r="B53" s="19" t="n"/>
      <c r="C53" s="19" t="n"/>
      <c r="D53" s="19" t="n"/>
      <c r="E53" s="19" t="n"/>
      <c r="F53" s="19" t="n"/>
    </row>
    <row r="54">
      <c r="A54" s="20" t="inlineStr">
        <is>
          <t>DB utan tilskot</t>
        </is>
      </c>
      <c r="B54" s="21" t="inlineStr">
        <is>
          <t>Utrekna</t>
        </is>
      </c>
      <c r="C54" s="38">
        <f>IF((C7)=0,0,(C34)/(C7))</f>
        <v/>
      </c>
      <c r="D54" s="12" t="inlineStr">
        <is>
          <t>kr</t>
        </is>
      </c>
      <c r="E54" s="23" t="inlineStr">
        <is>
          <t>DB utan tilskot = Dekningsbidrag (DB) utan tilskot [C34] ÷ Tal årspurker [C7]</t>
        </is>
      </c>
      <c r="F54" s="24" t="inlineStr">
        <is>
          <t>=IF((C7)=0,0,(C34)/(C7))</t>
        </is>
      </c>
    </row>
    <row r="55">
      <c r="A55" s="20" t="inlineStr">
        <is>
          <t>Tilskot</t>
        </is>
      </c>
      <c r="B55" s="21" t="inlineStr">
        <is>
          <t>Utrekna</t>
        </is>
      </c>
      <c r="C55" s="38">
        <f>IF((C7)=0,0,(C17)/(C7))</f>
        <v/>
      </c>
      <c r="D55" s="12" t="inlineStr">
        <is>
          <t>kr</t>
        </is>
      </c>
      <c r="E55" s="23" t="inlineStr">
        <is>
          <t>Tilskot = Produksjonstilskot fordelt på produksjonen [C17] ÷ Tal årspurker [C7]</t>
        </is>
      </c>
      <c r="F55" s="24" t="inlineStr">
        <is>
          <t>=IF((C7)=0,0,(C17)/(C7))</t>
        </is>
      </c>
    </row>
    <row r="56">
      <c r="A56" s="20" t="inlineStr">
        <is>
          <t>DB med tilskot</t>
        </is>
      </c>
      <c r="B56" s="21" t="inlineStr">
        <is>
          <t>Utrekna</t>
        </is>
      </c>
      <c r="C56" s="38">
        <f>IF((C7)=0,0,(C35)/(C7))</f>
        <v/>
      </c>
      <c r="D56" s="12" t="inlineStr">
        <is>
          <t>kr</t>
        </is>
      </c>
      <c r="E56" s="23" t="inlineStr">
        <is>
          <t>DB med tilskot = Dekningsbidrag (DB) med tilskot [C35] ÷ Tal årspurker [C7]</t>
        </is>
      </c>
      <c r="F56" s="24" t="inlineStr">
        <is>
          <t>=IF((C7)=0,0,(C35)/(C7))</t>
        </is>
      </c>
    </row>
    <row r="57">
      <c r="A57" s="20" t="inlineStr">
        <is>
          <t>Maskinkostnader</t>
        </is>
      </c>
      <c r="B57" s="21" t="inlineStr">
        <is>
          <t>Utrekna</t>
        </is>
      </c>
      <c r="C57" s="38">
        <f>IF((C7)=0,0,(C29)/(C7))</f>
        <v/>
      </c>
      <c r="D57" s="12" t="inlineStr">
        <is>
          <t>kr</t>
        </is>
      </c>
      <c r="E57" s="23" t="inlineStr">
        <is>
          <t>Maskinkostnader = Maskinkostnader fordelt [C29] ÷ Tal årspurker [C7]</t>
        </is>
      </c>
      <c r="F57" s="24" t="inlineStr">
        <is>
          <t>=IF((C7)=0,0,(C29)/(C7))</t>
        </is>
      </c>
    </row>
    <row r="58">
      <c r="A58" s="20" t="inlineStr">
        <is>
          <t>Innandørsmekanisering</t>
        </is>
      </c>
      <c r="B58" s="21" t="inlineStr">
        <is>
          <t>Utrekna</t>
        </is>
      </c>
      <c r="C58" s="38">
        <f>IF((C7)=0,0,(C30)/(C7))</f>
        <v/>
      </c>
      <c r="D58" s="12" t="inlineStr">
        <is>
          <t>kr</t>
        </is>
      </c>
      <c r="E58" s="23" t="inlineStr">
        <is>
          <t>Innandørsmekanisering = Innandørsmekanisering fordelt [C30] ÷ Tal årspurker [C7]</t>
        </is>
      </c>
      <c r="F58" s="24" t="inlineStr">
        <is>
          <t>=IF((C7)=0,0,(C30)/(C7))</t>
        </is>
      </c>
    </row>
    <row r="59">
      <c r="A59" s="20" t="inlineStr">
        <is>
          <t>DB m/tilskot etter maskin og innandørsmek.</t>
        </is>
      </c>
      <c r="B59" s="21" t="inlineStr">
        <is>
          <t>Utrekna</t>
        </is>
      </c>
      <c r="C59" s="38">
        <f>IF((C7)=0,0,(C36)/(C7))</f>
        <v/>
      </c>
      <c r="D59" s="12" t="inlineStr">
        <is>
          <t>kr</t>
        </is>
      </c>
      <c r="E59" s="23" t="inlineStr">
        <is>
          <t>DB m/tilskot etter maskin og innandørsmek. = DB m/tilskot etter maskin- og innandørskostnad [C36] ÷ Tal årspurker [C7]</t>
        </is>
      </c>
      <c r="F59" s="24" t="inlineStr">
        <is>
          <t>=IF((C7)=0,0,(C36)/(C7))</t>
        </is>
      </c>
    </row>
    <row r="60">
      <c r="A60" s="18" t="inlineStr">
        <is>
          <t>6. OUTPUT – Nøkkeltal</t>
        </is>
      </c>
      <c r="B60" s="19" t="n"/>
      <c r="C60" s="19" t="n"/>
      <c r="D60" s="19" t="n"/>
      <c r="E60" s="19" t="n"/>
      <c r="F60" s="19" t="n"/>
    </row>
    <row r="61">
      <c r="A61" s="25" t="inlineStr">
        <is>
          <t>DB pr årspurke u/tilskot</t>
        </is>
      </c>
      <c r="B61" s="26" t="inlineStr">
        <is>
          <t>Utrekna</t>
        </is>
      </c>
      <c r="C61" s="39">
        <f>IF((C7)=0,0,(C34)/(C7))</f>
        <v/>
      </c>
      <c r="D61" s="28" t="inlineStr">
        <is>
          <t>kr</t>
        </is>
      </c>
      <c r="E61" s="29" t="inlineStr">
        <is>
          <t>DB pr årspurke u/tilskot = Dekningsbidrag (DB) utan tilskot [C34] ÷ Tal årspurker [C7]</t>
        </is>
      </c>
      <c r="F61" s="30" t="inlineStr">
        <is>
          <t>=IF((C7)=0,0,(C34)/(C7))</t>
        </is>
      </c>
    </row>
    <row r="62">
      <c r="A62" s="25" t="inlineStr">
        <is>
          <t>DB pr årspurke m/tilskot</t>
        </is>
      </c>
      <c r="B62" s="26" t="inlineStr">
        <is>
          <t>Utrekna</t>
        </is>
      </c>
      <c r="C62" s="39">
        <f>IF((C7)=0,0,(C35)/(C7))</f>
        <v/>
      </c>
      <c r="D62" s="28" t="inlineStr">
        <is>
          <t>kr</t>
        </is>
      </c>
      <c r="E62" s="29" t="inlineStr">
        <is>
          <t>DB pr årspurke m/tilskot = Dekningsbidrag (DB) med tilskot [C35] ÷ Tal årspurker [C7]</t>
        </is>
      </c>
      <c r="F62" s="30" t="inlineStr">
        <is>
          <t>=IF((C7)=0,0,(C35)/(C7))</t>
        </is>
      </c>
    </row>
    <row r="63">
      <c r="A63" s="25" t="inlineStr">
        <is>
          <t>DB pr kull u/tilskot</t>
        </is>
      </c>
      <c r="B63" s="26" t="inlineStr">
        <is>
          <t>Utrekna</t>
        </is>
      </c>
      <c r="C63" s="39">
        <f>IF((C37)=0,0,(C34)/(C37))</f>
        <v/>
      </c>
      <c r="D63" s="28" t="inlineStr">
        <is>
          <t>kr</t>
        </is>
      </c>
      <c r="E63" s="29" t="inlineStr">
        <is>
          <t>DB pr kull u/tilskot = Dekningsbidrag (DB) utan tilskot [C34] ÷ Tal kull [C37]</t>
        </is>
      </c>
      <c r="F63" s="30" t="inlineStr">
        <is>
          <t>=IF((C37)=0,0,(C34)/(C37))</t>
        </is>
      </c>
    </row>
    <row r="64">
      <c r="A64" s="25" t="inlineStr">
        <is>
          <t>Maskinkostnader pr purke</t>
        </is>
      </c>
      <c r="B64" s="26" t="inlineStr">
        <is>
          <t>Utrekna</t>
        </is>
      </c>
      <c r="C64" s="39">
        <f>IF((C7)=0,0,(C29)/(C7))</f>
        <v/>
      </c>
      <c r="D64" s="28" t="inlineStr">
        <is>
          <t>kr</t>
        </is>
      </c>
      <c r="E64" s="29" t="inlineStr">
        <is>
          <t>Maskinkostnader pr purke = Maskinkostnader fordelt [C29] ÷ Tal årspurker [C7]</t>
        </is>
      </c>
      <c r="F64" s="30" t="inlineStr">
        <is>
          <t>=IF((C7)=0,0,(C29)/(C7))</t>
        </is>
      </c>
    </row>
    <row r="65">
      <c r="A65" s="25" t="inlineStr">
        <is>
          <t>Maskinkostnader pr kull</t>
        </is>
      </c>
      <c r="B65" s="26" t="inlineStr">
        <is>
          <t>Utrekna</t>
        </is>
      </c>
      <c r="C65" s="39">
        <f>IF((C37)=0,0,(C29)/(C37))</f>
        <v/>
      </c>
      <c r="D65" s="28" t="inlineStr">
        <is>
          <t>kr</t>
        </is>
      </c>
      <c r="E65" s="29" t="inlineStr">
        <is>
          <t>Maskinkostnader pr kull = Maskinkostnader fordelt [C29] ÷ Tal kull [C37]</t>
        </is>
      </c>
      <c r="F65" s="30" t="inlineStr">
        <is>
          <t>=IF((C37)=0,0,(C29)/(C37))</t>
        </is>
      </c>
    </row>
    <row r="66">
      <c r="A66" s="25" t="inlineStr">
        <is>
          <t>Innandørsmekanisering pr purke</t>
        </is>
      </c>
      <c r="B66" s="26" t="inlineStr">
        <is>
          <t>Utrekna</t>
        </is>
      </c>
      <c r="C66" s="39">
        <f>IF((C7)=0,0,(C30)/(C7))</f>
        <v/>
      </c>
      <c r="D66" s="28" t="inlineStr">
        <is>
          <t>kr</t>
        </is>
      </c>
      <c r="E66" s="29" t="inlineStr">
        <is>
          <t>Innandørsmekanisering pr purke = Innandørsmekanisering fordelt [C30] ÷ Tal årspurker [C7]</t>
        </is>
      </c>
      <c r="F66" s="30" t="inlineStr">
        <is>
          <t>=IF((C7)=0,0,(C30)/(C7))</t>
        </is>
      </c>
    </row>
    <row r="67">
      <c r="A67" s="25" t="inlineStr">
        <is>
          <t>Innandørsmekanisering pr kull</t>
        </is>
      </c>
      <c r="B67" s="26" t="inlineStr">
        <is>
          <t>Utrekna</t>
        </is>
      </c>
      <c r="C67" s="39">
        <f>IF((C37)=0,0,(C30)/(C37))</f>
        <v/>
      </c>
      <c r="D67" s="28" t="inlineStr">
        <is>
          <t>kr</t>
        </is>
      </c>
      <c r="E67" s="29" t="inlineStr">
        <is>
          <t>Innandørsmekanisering pr kull = Innandørsmekanisering fordelt [C30] ÷ Tal kull [C37]</t>
        </is>
      </c>
      <c r="F67" s="30" t="inlineStr">
        <is>
          <t>=IF((C37)=0,0,(C30)/(C37))</t>
        </is>
      </c>
    </row>
    <row r="68">
      <c r="A68" s="25" t="inlineStr">
        <is>
          <t>Oppnådd kjøtpris pr kg slakt</t>
        </is>
      </c>
      <c r="B68" s="26" t="inlineStr">
        <is>
          <t>Utrekna</t>
        </is>
      </c>
      <c r="C68" s="39">
        <f>IF((C15)=0,0,(C19+C20)/(C15))</f>
        <v/>
      </c>
      <c r="D68" s="28" t="inlineStr">
        <is>
          <t>kr</t>
        </is>
      </c>
      <c r="E68" s="29" t="inlineStr">
        <is>
          <t>Oppnådd kjøtpris pr kg slakt = (Sal av slaktegris [C19] + Purkeslakt [C20]) ÷ Kg slakt [C15]</t>
        </is>
      </c>
      <c r="F68" s="30" t="inlineStr">
        <is>
          <t>=IF((C15)=0,0,(C19+C20)/(C15))</t>
        </is>
      </c>
    </row>
    <row r="69">
      <c r="A69" s="25" t="inlineStr">
        <is>
          <t>Oppnådd pris pr smågris</t>
        </is>
      </c>
      <c r="B69" s="26" t="inlineStr">
        <is>
          <t>Utrekna</t>
        </is>
      </c>
      <c r="C69" s="39">
        <f>IF((C13)=0,0,(C18)/(C13))</f>
        <v/>
      </c>
      <c r="D69" s="28" t="inlineStr">
        <is>
          <t>kr</t>
        </is>
      </c>
      <c r="E69" s="29" t="inlineStr">
        <is>
          <t>Oppnådd pris pr smågris = Sal av smågris [C18] ÷ Tal smågris selt [C13]</t>
        </is>
      </c>
      <c r="F69" s="30" t="inlineStr">
        <is>
          <t>=IF((C13)=0,0,(C18)/(C13))</t>
        </is>
      </c>
    </row>
    <row r="70">
      <c r="A70" s="25" t="inlineStr">
        <is>
          <t>Produsert tal gris pr purke</t>
        </is>
      </c>
      <c r="B70" s="26" t="inlineStr">
        <is>
          <t>Utrekna</t>
        </is>
      </c>
      <c r="C70" s="37">
        <f>IF((C7)=0,0,(C38)/(C7))</f>
        <v/>
      </c>
      <c r="D70" s="28" t="inlineStr">
        <is>
          <t>stk</t>
        </is>
      </c>
      <c r="E70" s="29" t="inlineStr">
        <is>
          <t>Produsert tal gris pr purke = Produsert tal gris [C38] ÷ Tal årspurker [C7]</t>
        </is>
      </c>
      <c r="F70" s="30" t="inlineStr">
        <is>
          <t>=IF((C7)=0,0,(C38)/(C7))</t>
        </is>
      </c>
    </row>
    <row r="71">
      <c r="A71" s="25" t="inlineStr">
        <is>
          <t>Produsert tal gris pr kull</t>
        </is>
      </c>
      <c r="B71" s="26" t="inlineStr">
        <is>
          <t>Utrekna</t>
        </is>
      </c>
      <c r="C71" s="37">
        <f>IF((C37)=0,0,(C38)/(C37))</f>
        <v/>
      </c>
      <c r="D71" s="28" t="inlineStr">
        <is>
          <t>stk</t>
        </is>
      </c>
      <c r="E71" s="29" t="inlineStr">
        <is>
          <t>Produsert tal gris pr kull = Produsert tal gris [C38] ÷ Tal kull [C37]</t>
        </is>
      </c>
      <c r="F71" s="30" t="inlineStr">
        <is>
          <t>=IF((C37)=0,0,(C38)/(C37))</t>
        </is>
      </c>
    </row>
    <row r="72">
      <c r="A72" s="25" t="inlineStr">
        <is>
          <t>Framfôringsprosent</t>
        </is>
      </c>
      <c r="B72" s="26" t="inlineStr">
        <is>
          <t>Utrekna</t>
        </is>
      </c>
      <c r="C72" s="33">
        <f>IF((C12+C13-C14)=0,0,(C12)/(C12+C13-C14))</f>
        <v/>
      </c>
      <c r="D72" s="28" t="inlineStr">
        <is>
          <t>%</t>
        </is>
      </c>
      <c r="E72" s="29" t="inlineStr">
        <is>
          <t>Framfôringsprosent = Tal slaktegris levert [C12] ÷ (Tal slaktegris levert [C12] + Tal smågris selt [C13] − Tal kjøpte smågris [C14])</t>
        </is>
      </c>
      <c r="F72" s="30" t="inlineStr">
        <is>
          <t>=IF((C12+C13-C14)=0,0,(C12)/(C12+C13-C14))</t>
        </is>
      </c>
    </row>
    <row r="73">
      <c r="A73" s="25" t="inlineStr">
        <is>
          <t>DB pr m² bingeareal</t>
        </is>
      </c>
      <c r="B73" s="26" t="inlineStr">
        <is>
          <t>Utrekna</t>
        </is>
      </c>
      <c r="C73" s="39">
        <f>IF((C9)=0,0,(C34)/(C9))</f>
        <v/>
      </c>
      <c r="D73" s="28" t="inlineStr">
        <is>
          <t>kr</t>
        </is>
      </c>
      <c r="E73" s="29" t="inlineStr">
        <is>
          <t>DB pr m² bingeareal = Dekningsbidrag (DB) utan tilskot [C34] ÷ Bingeareal [C9]</t>
        </is>
      </c>
      <c r="F73" s="30" t="inlineStr">
        <is>
          <t>=IF((C9)=0,0,(C34)/(C9))</t>
        </is>
      </c>
    </row>
    <row r="74">
      <c r="A74" s="25" t="inlineStr">
        <is>
          <t>Analysegruppe (oppdrett)</t>
        </is>
      </c>
      <c r="B74" s="26" t="inlineStr">
        <is>
          <t>Utrekna</t>
        </is>
      </c>
      <c r="C74" s="41">
        <f>IF(IF((C12+C13-C14)=0,0,(C12)/(C12+C13-C14))&gt;=0.5,"&gt; 50 % oppdrett (kombinert)","&lt; 50 % oppdrett (smågris)")</f>
        <v/>
      </c>
      <c r="D74" s="28" t="inlineStr">
        <is>
          <t>tekst</t>
        </is>
      </c>
      <c r="E74" s="29" t="inlineStr">
        <is>
          <t>Analysegruppe (oppdrett) = HVIS(Tal slaktegris levert [C12] ÷ (Tal slaktegris levert [C12] + Tal smågris selt [C13] − Tal kjøpte smågris [C14])&gt;=0,5; "&gt; 50 % oppdrett (kombinert)"; "&lt; 50 % oppdrett (smågris)")   (Tilsvarar arka «Gris kombinert» og «Smågris» i eksempelanalysen)</t>
        </is>
      </c>
      <c r="F74" s="30" t="inlineStr">
        <is>
          <t>=IF(IF((C12+C13-C14)=0,0,(C12)/(C12+C13-C14))&gt;=0.5,"&gt; 50 % oppdrett (kombinert)","&lt; 50 % oppdrett (smågris)")</t>
        </is>
      </c>
    </row>
  </sheetData>
  <pageMargins left="0.75" right="0.75" top="1" bottom="1" header="0.5" footer="0.5"/>
  <pageSetup orientation="landscape" fitToHeight="0" fitToWidth="1"/>
</worksheet>
</file>

<file path=xl/worksheets/sheet20.xml><?xml version="1.0" encoding="utf-8"?>
<worksheet xmlns="http://schemas.openxmlformats.org/spreadsheetml/2006/main">
  <sheetPr>
    <outlinePr summaryBelow="1" summaryRight="1"/>
    <pageSetUpPr fitToPage="1"/>
  </sheetPr>
  <dimension ref="A1:F77"/>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0" customWidth="1" min="1" max="1"/>
    <col width="34" customWidth="1" min="2" max="2"/>
    <col width="16" customWidth="1" min="3" max="3"/>
    <col width="10" customWidth="1" min="4" max="4"/>
    <col width="78" customWidth="1" min="5" max="5"/>
    <col width="46" customWidth="1" min="6" max="6"/>
  </cols>
  <sheetData>
    <row r="1" ht="22" customHeight="1">
      <c r="A1" s="1" t="inlineStr">
        <is>
          <t>Purkering (nav/satellitt)  –  driftsgrein 6290</t>
        </is>
      </c>
    </row>
    <row r="2">
      <c r="A2" s="7" t="inlineStr">
        <is>
          <t>Purkering (driftsgrein 6290). Purkeleige (6480) er ein variabel kostnad i purkeringen, som i eksempelanalysen.</t>
        </is>
      </c>
    </row>
    <row r="3">
      <c r="A3" s="8" t="inlineStr">
        <is>
          <t>Fargekodar:  blå tal på gul botn = input (skal fyllast inn)   ·   svart = formel   ·   grøn = lenkje frå anna ark.   Alle kronebeløp er positive (inntekt og kostnad).</t>
        </is>
      </c>
    </row>
    <row r="5">
      <c r="A5" s="17" t="inlineStr">
        <is>
          <t>Post</t>
        </is>
      </c>
      <c r="B5" s="17" t="inlineStr">
        <is>
          <t>Kjelde / Tripletex-konto</t>
        </is>
      </c>
      <c r="C5" s="17" t="inlineStr">
        <is>
          <t>Verdi</t>
        </is>
      </c>
      <c r="D5" s="17" t="inlineStr">
        <is>
          <t>Eining</t>
        </is>
      </c>
      <c r="E5" s="17" t="inlineStr">
        <is>
          <t>Formel forklart (korleis outputen blir rekna)</t>
        </is>
      </c>
      <c r="F5" s="17" t="inlineStr">
        <is>
          <t>Excel-formel</t>
        </is>
      </c>
    </row>
    <row r="6">
      <c r="A6" s="18" t="inlineStr">
        <is>
          <t>1. INPUT – Produksjonsdata (frå produksjonstabell / teljingar)</t>
        </is>
      </c>
      <c r="B6" s="19" t="n"/>
      <c r="C6" s="19" t="n"/>
      <c r="D6" s="19" t="n"/>
      <c r="E6" s="19" t="n"/>
      <c r="F6" s="19" t="n"/>
    </row>
    <row r="7">
      <c r="A7" s="20" t="inlineStr">
        <is>
          <t>Tal årspurker</t>
        </is>
      </c>
      <c r="B7" s="24" t="inlineStr">
        <is>
          <t>Produksjonstabell (EnhetAntall)</t>
        </is>
      </c>
      <c r="C7" s="31" t="n">
        <v>120</v>
      </c>
      <c r="D7" s="12" t="inlineStr">
        <is>
          <t>stk</t>
        </is>
      </c>
      <c r="E7" s="24" t="inlineStr">
        <is>
          <t>Input. Hentast frå: Produksjonstabell (EnhetAntall).</t>
        </is>
      </c>
      <c r="F7" s="32" t="n"/>
    </row>
    <row r="8">
      <c r="A8" s="20" t="inlineStr">
        <is>
          <t>Tal kull pr purke</t>
        </is>
      </c>
      <c r="B8" s="24" t="inlineStr">
        <is>
          <t>Ingris / produksjonstabell</t>
        </is>
      </c>
      <c r="C8" s="42" t="n">
        <v>2.3</v>
      </c>
      <c r="D8" s="12" t="inlineStr">
        <is>
          <t>stk</t>
        </is>
      </c>
      <c r="E8" s="24" t="inlineStr">
        <is>
          <t>Input. Hentast frå: Ingris / produksjonstabell.</t>
        </is>
      </c>
      <c r="F8" s="32" t="n"/>
    </row>
    <row r="9">
      <c r="A9" s="20" t="inlineStr">
        <is>
          <t>Husdyrrom</t>
        </is>
      </c>
      <c r="B9" s="24" t="inlineStr">
        <is>
          <t>Mengde 1 på 1045-1049</t>
        </is>
      </c>
      <c r="C9" s="31" t="n">
        <v>900</v>
      </c>
      <c r="D9" s="12" t="inlineStr">
        <is>
          <t>m²</t>
        </is>
      </c>
      <c r="E9" s="24" t="inlineStr">
        <is>
          <t>Input. Hentast frå: Mengde 1 på 1045-1049.</t>
        </is>
      </c>
      <c r="F9" s="32" t="n"/>
    </row>
    <row r="10">
      <c r="A10" s="20" t="inlineStr">
        <is>
          <t>Tal gris pr 1.1.</t>
        </is>
      </c>
      <c r="B10" s="24" t="inlineStr">
        <is>
          <t>1453.20 (IB)</t>
        </is>
      </c>
      <c r="C10" s="31" t="n">
        <v>900</v>
      </c>
      <c r="D10" s="12" t="inlineStr">
        <is>
          <t>stk</t>
        </is>
      </c>
      <c r="E10" s="24" t="inlineStr">
        <is>
          <t>Input. Hentast frå: 1453.20 (IB).</t>
        </is>
      </c>
      <c r="F10" s="32" t="n"/>
    </row>
    <row r="11">
      <c r="A11" s="20" t="inlineStr">
        <is>
          <t>Tal gris pr 31.12.</t>
        </is>
      </c>
      <c r="B11" s="24" t="inlineStr">
        <is>
          <t>1453.20 (UB)</t>
        </is>
      </c>
      <c r="C11" s="31" t="n">
        <v>920</v>
      </c>
      <c r="D11" s="12" t="inlineStr">
        <is>
          <t>stk</t>
        </is>
      </c>
      <c r="E11" s="24" t="inlineStr">
        <is>
          <t>Input. Hentast frå: 1453.20 (UB).</t>
        </is>
      </c>
      <c r="F11" s="32" t="n"/>
    </row>
    <row r="12">
      <c r="A12" s="20" t="inlineStr">
        <is>
          <t>Tal slaktegris levert</t>
        </is>
      </c>
      <c r="B12" s="24" t="inlineStr">
        <is>
          <t>Mengde 1 på 3043</t>
        </is>
      </c>
      <c r="C12" s="31" t="n">
        <v>0</v>
      </c>
      <c r="D12" s="12" t="inlineStr">
        <is>
          <t>stk</t>
        </is>
      </c>
      <c r="E12" s="24" t="inlineStr">
        <is>
          <t>Input. Hentast frå: Mengde 1 på 3043.</t>
        </is>
      </c>
      <c r="F12" s="32" t="n"/>
    </row>
    <row r="13">
      <c r="A13" s="20" t="inlineStr">
        <is>
          <t>Tal smågris selt</t>
        </is>
      </c>
      <c r="B13" s="24" t="inlineStr">
        <is>
          <t>Mengde 1 på 3053</t>
        </is>
      </c>
      <c r="C13" s="31" t="n">
        <v>3000</v>
      </c>
      <c r="D13" s="12" t="inlineStr">
        <is>
          <t>stk</t>
        </is>
      </c>
      <c r="E13" s="24" t="inlineStr">
        <is>
          <t>Input. Hentast frå: Mengde 1 på 3053.</t>
        </is>
      </c>
      <c r="F13" s="32" t="n"/>
    </row>
    <row r="14">
      <c r="A14" s="20" t="inlineStr">
        <is>
          <t>Tal kjøpte gris</t>
        </is>
      </c>
      <c r="B14" s="24" t="inlineStr">
        <is>
          <t>Mengde 1 på 4630</t>
        </is>
      </c>
      <c r="C14" s="31" t="n">
        <v>0</v>
      </c>
      <c r="D14" s="12" t="inlineStr">
        <is>
          <t>stk</t>
        </is>
      </c>
      <c r="E14" s="24" t="inlineStr">
        <is>
          <t>Input. Hentast frå: Mengde 1 på 4630.</t>
        </is>
      </c>
      <c r="F14" s="32" t="n"/>
    </row>
    <row r="15">
      <c r="A15" s="20" t="inlineStr">
        <is>
          <t>Kg slakt</t>
        </is>
      </c>
      <c r="B15" s="24" t="inlineStr">
        <is>
          <t>Mengde 2 på 3043</t>
        </is>
      </c>
      <c r="C15" s="31" t="n">
        <v>6000</v>
      </c>
      <c r="D15" s="12" t="inlineStr">
        <is>
          <t>kg</t>
        </is>
      </c>
      <c r="E15" s="24" t="inlineStr">
        <is>
          <t>Input. Hentast frå: Mengde 2 på 3043.</t>
        </is>
      </c>
      <c r="F15" s="32" t="n"/>
    </row>
    <row r="16">
      <c r="A16" s="18" t="inlineStr">
        <is>
          <t>2. INPUT – Rekneskapstal (kr) frå saldobalansen etter korrigeringar</t>
        </is>
      </c>
      <c r="B16" s="19" t="n"/>
      <c r="C16" s="19" t="n"/>
      <c r="D16" s="19" t="n"/>
      <c r="E16" s="19" t="n"/>
      <c r="F16" s="19" t="n"/>
    </row>
    <row r="17">
      <c r="A17" s="20" t="inlineStr">
        <is>
          <t>Produksjonstilskot fordelt på produksjonen</t>
        </is>
      </c>
      <c r="B17" s="24" t="inlineStr">
        <is>
          <t>34xx (ikkje 344x avløysartilskot)</t>
        </is>
      </c>
      <c r="C17" s="31" t="n">
        <v>200000</v>
      </c>
      <c r="D17" s="12" t="inlineStr">
        <is>
          <t>kr</t>
        </is>
      </c>
      <c r="E17" s="24" t="inlineStr">
        <is>
          <t>Input. Hentast frå: 34xx (ikkje 344x avløysartilskot).</t>
        </is>
      </c>
      <c r="F17" s="32" t="n"/>
    </row>
    <row r="18">
      <c r="A18" s="20" t="inlineStr">
        <is>
          <t>Sal av smågris</t>
        </is>
      </c>
      <c r="B18" s="24" t="inlineStr">
        <is>
          <t>3053</t>
        </is>
      </c>
      <c r="C18" s="31" t="n">
        <v>3150000</v>
      </c>
      <c r="D18" s="12" t="inlineStr">
        <is>
          <t>kr</t>
        </is>
      </c>
      <c r="E18" s="24" t="inlineStr">
        <is>
          <t>Input. Hentast frå: 3053.</t>
        </is>
      </c>
      <c r="F18" s="32" t="n"/>
    </row>
    <row r="19">
      <c r="A19" s="20" t="inlineStr">
        <is>
          <t>Sal av slaktegris</t>
        </is>
      </c>
      <c r="B19" s="24" t="inlineStr">
        <is>
          <t>3043, 3162, 3172</t>
        </is>
      </c>
      <c r="C19" s="31" t="n">
        <v>0</v>
      </c>
      <c r="D19" s="12" t="inlineStr">
        <is>
          <t>kr</t>
        </is>
      </c>
      <c r="E19" s="24" t="inlineStr">
        <is>
          <t>Input. Hentast frå: 3043, 3162, 3172.</t>
        </is>
      </c>
      <c r="F19" s="32" t="n"/>
    </row>
    <row r="20">
      <c r="A20" s="20" t="inlineStr">
        <is>
          <t>Purkeslakt</t>
        </is>
      </c>
      <c r="B20" s="24" t="inlineStr">
        <is>
          <t>3043 (.531/.532)</t>
        </is>
      </c>
      <c r="C20" s="31" t="n">
        <v>120000</v>
      </c>
      <c r="D20" s="12" t="inlineStr">
        <is>
          <t>kr</t>
        </is>
      </c>
      <c r="E20" s="24" t="inlineStr">
        <is>
          <t>Input. Hentast frå: 3043 (.531/.532).</t>
        </is>
      </c>
      <c r="F20" s="32" t="n"/>
    </row>
    <row r="21">
      <c r="A21" s="20" t="inlineStr">
        <is>
          <t>Buskap, beholdningsendring (+ = auke)</t>
        </is>
      </c>
      <c r="B21" s="24" t="inlineStr">
        <is>
          <t>4693 (forteikn snudd)</t>
        </is>
      </c>
      <c r="C21" s="31" t="n">
        <v>8000</v>
      </c>
      <c r="D21" s="12" t="inlineStr">
        <is>
          <t>kr</t>
        </is>
      </c>
      <c r="E21" s="24" t="inlineStr">
        <is>
          <t>Input. Hentast frå: 4693 (forteikn snudd).</t>
        </is>
      </c>
      <c r="F21" s="32" t="n"/>
    </row>
    <row r="22">
      <c r="A22" s="20" t="inlineStr">
        <is>
          <t>Andre inntekter</t>
        </is>
      </c>
      <c r="B22" s="24" t="inlineStr">
        <is>
          <t>andre 3xxx</t>
        </is>
      </c>
      <c r="C22" s="31" t="n">
        <v>0</v>
      </c>
      <c r="D22" s="12" t="inlineStr">
        <is>
          <t>kr</t>
        </is>
      </c>
      <c r="E22" s="24" t="inlineStr">
        <is>
          <t>Input. Hentast frå: andre 3xxx.</t>
        </is>
      </c>
      <c r="F22" s="32" t="n"/>
    </row>
    <row r="23">
      <c r="A23" s="18" t="inlineStr">
        <is>
          <t>Variable kostnader</t>
        </is>
      </c>
      <c r="B23" s="19" t="n"/>
      <c r="C23" s="19" t="n"/>
      <c r="D23" s="19" t="n"/>
      <c r="E23" s="19" t="n"/>
      <c r="F23" s="19" t="n"/>
    </row>
    <row r="24">
      <c r="A24" s="20" t="inlineStr">
        <is>
          <t>Kraftfôr mm.</t>
        </is>
      </c>
      <c r="B24" s="24" t="inlineStr">
        <is>
          <t>4020-4029, 4040-4049, 4092, 4094</t>
        </is>
      </c>
      <c r="C24" s="31" t="n">
        <v>1700000</v>
      </c>
      <c r="D24" s="12" t="inlineStr">
        <is>
          <t>kr</t>
        </is>
      </c>
      <c r="E24" s="24" t="inlineStr">
        <is>
          <t>Input. Hentast frå: 4020-4029, 4040-4049, 4092, 4094.</t>
        </is>
      </c>
      <c r="F24" s="32" t="n"/>
    </row>
    <row r="25">
      <c r="A25" s="20" t="inlineStr">
        <is>
          <t>Veterinær, medisin, inseminering</t>
        </is>
      </c>
      <c r="B25" s="24" t="inlineStr">
        <is>
          <t>4120, 4192, 4520-4529</t>
        </is>
      </c>
      <c r="C25" s="31" t="n">
        <v>250000</v>
      </c>
      <c r="D25" s="12" t="inlineStr">
        <is>
          <t>kr</t>
        </is>
      </c>
      <c r="E25" s="24" t="inlineStr">
        <is>
          <t>Input. Hentast frå: 4120, 4192, 4520-4529.</t>
        </is>
      </c>
      <c r="F25" s="32" t="n"/>
    </row>
    <row r="26">
      <c r="A26" s="20" t="inlineStr">
        <is>
          <t>Innkjøp dyr</t>
        </is>
      </c>
      <c r="B26" s="24" t="inlineStr">
        <is>
          <t>4600-4689</t>
        </is>
      </c>
      <c r="C26" s="31" t="n">
        <v>150000</v>
      </c>
      <c r="D26" s="12" t="inlineStr">
        <is>
          <t>kr</t>
        </is>
      </c>
      <c r="E26" s="24" t="inlineStr">
        <is>
          <t>Input. Hentast frå: 4600-4689.</t>
        </is>
      </c>
      <c r="F26" s="32" t="n"/>
    </row>
    <row r="27">
      <c r="A27" s="20" t="inlineStr">
        <is>
          <t>Andre variable kostnader</t>
        </is>
      </c>
      <c r="B27" s="24" t="inlineStr">
        <is>
          <t>4130-4139, 4193, 4530-4549, 4560-4569 + andre 4xxx</t>
        </is>
      </c>
      <c r="C27" s="31" t="n">
        <v>400000</v>
      </c>
      <c r="D27" s="12" t="inlineStr">
        <is>
          <t>kr</t>
        </is>
      </c>
      <c r="E27" s="24" t="inlineStr">
        <is>
          <t>Input. Hentast frå: 4130-4139, 4193, 4530-4549, 4560-4569 + andre 4xxx.</t>
        </is>
      </c>
      <c r="F27" s="32" t="n"/>
    </row>
    <row r="28">
      <c r="A28" s="20" t="inlineStr">
        <is>
          <t>Purkeleige</t>
        </is>
      </c>
      <c r="B28" s="24" t="inlineStr">
        <is>
          <t>6480</t>
        </is>
      </c>
      <c r="C28" s="31" t="n">
        <v>300000</v>
      </c>
      <c r="D28" s="12" t="inlineStr">
        <is>
          <t>kr</t>
        </is>
      </c>
      <c r="E28" s="24" t="inlineStr">
        <is>
          <t>Input. Hentast frå: 6480.</t>
        </is>
      </c>
      <c r="F28" s="32" t="n"/>
    </row>
    <row r="29">
      <c r="A29" s="18" t="inlineStr">
        <is>
          <t>3. INPUT – Fordelte faste kostnader (lenka frå arket «Faste kostnader»)</t>
        </is>
      </c>
      <c r="B29" s="19" t="n"/>
      <c r="C29" s="19" t="n"/>
      <c r="D29" s="19" t="n"/>
      <c r="E29" s="19" t="n"/>
      <c r="F29" s="19" t="n"/>
    </row>
    <row r="30">
      <c r="A30" s="20" t="inlineStr">
        <is>
          <t>Maskinkostnader fordelt</t>
        </is>
      </c>
      <c r="B30" s="21" t="inlineStr">
        <is>
          <t>Lenkje frå anna ark</t>
        </is>
      </c>
      <c r="C30" s="13">
        <f>'Faste kostnader'!C51</f>
        <v/>
      </c>
      <c r="D30" s="12" t="inlineStr">
        <is>
          <t>kr</t>
        </is>
      </c>
      <c r="E30" s="23" t="inlineStr">
        <is>
          <t>Maskinkostnader fordelt = Maskinkostnader – Purkering [Faste kostnader!C51]</t>
        </is>
      </c>
      <c r="F30" s="24" t="inlineStr">
        <is>
          <t>='Faste kostnader'!C51</t>
        </is>
      </c>
    </row>
    <row r="31">
      <c r="A31" s="20" t="inlineStr">
        <is>
          <t>Innandørsmekanisering fordelt</t>
        </is>
      </c>
      <c r="B31" s="21" t="inlineStr">
        <is>
          <t>Lenkje frå anna ark</t>
        </is>
      </c>
      <c r="C31" s="13">
        <f>'Faste kostnader'!C82</f>
        <v/>
      </c>
      <c r="D31" s="12" t="inlineStr">
        <is>
          <t>kr</t>
        </is>
      </c>
      <c r="E31" s="23" t="inlineStr">
        <is>
          <t>Innandørsmekanisering fordelt = Innandørsmekanisering – Purkering [Faste kostnader!C82]</t>
        </is>
      </c>
      <c r="F31" s="24" t="inlineStr">
        <is>
          <t>='Faste kostnader'!C82</t>
        </is>
      </c>
    </row>
    <row r="32">
      <c r="A32" s="18" t="inlineStr">
        <is>
          <t>4. UTREKNING – Totalt for produksjonen</t>
        </is>
      </c>
      <c r="B32" s="19" t="n"/>
      <c r="C32" s="19" t="n"/>
      <c r="D32" s="19" t="n"/>
      <c r="E32" s="19" t="n"/>
      <c r="F32" s="19" t="n"/>
    </row>
    <row r="33">
      <c r="A33" s="20" t="inlineStr">
        <is>
          <t>Produksjonsinntekter i alt</t>
        </is>
      </c>
      <c r="B33" s="21" t="inlineStr">
        <is>
          <t>Utrekna</t>
        </is>
      </c>
      <c r="C33" s="22">
        <f>C18+C19+C20+C21+C22</f>
        <v/>
      </c>
      <c r="D33" s="12" t="inlineStr">
        <is>
          <t>kr</t>
        </is>
      </c>
      <c r="E33" s="23" t="inlineStr">
        <is>
          <t>Produksjonsinntekter i alt = Sal av smågris [C18] + Sal av slaktegris [C19] + Purkeslakt [C20] + Buskap, beholdningsendring (+ = auke) [C21] + Andre inntekter [C22]</t>
        </is>
      </c>
      <c r="F33" s="24" t="inlineStr">
        <is>
          <t>=C18+C19+C20+C21+C22</t>
        </is>
      </c>
    </row>
    <row r="34">
      <c r="A34" s="20" t="inlineStr">
        <is>
          <t>Variable kostnader i alt</t>
        </is>
      </c>
      <c r="B34" s="21" t="inlineStr">
        <is>
          <t>Utrekna</t>
        </is>
      </c>
      <c r="C34" s="22">
        <f>C24+C25+C26+C27+C28</f>
        <v/>
      </c>
      <c r="D34" s="12" t="inlineStr">
        <is>
          <t>kr</t>
        </is>
      </c>
      <c r="E34" s="23" t="inlineStr">
        <is>
          <t>Variable kostnader i alt = Kraftfôr mm. [C24] + Veterinær, medisin, inseminering [C25] + Innkjøp dyr [C26] + Andre variable kostnader [C27] + Purkeleige [C28]</t>
        </is>
      </c>
      <c r="F34" s="24" t="inlineStr">
        <is>
          <t>=C24+C25+C26+C27+C28</t>
        </is>
      </c>
    </row>
    <row r="35">
      <c r="A35" s="25" t="inlineStr">
        <is>
          <t>Dekningsbidrag (DB) utan tilskot</t>
        </is>
      </c>
      <c r="B35" s="26" t="inlineStr">
        <is>
          <t>Utrekna</t>
        </is>
      </c>
      <c r="C35" s="27">
        <f>C33-C34</f>
        <v/>
      </c>
      <c r="D35" s="28" t="inlineStr">
        <is>
          <t>kr</t>
        </is>
      </c>
      <c r="E35" s="29" t="inlineStr">
        <is>
          <t>Dekningsbidrag (DB) utan tilskot = Produksjonsinntekter i alt [C33] − Variable kostnader i alt [C34]</t>
        </is>
      </c>
      <c r="F35" s="30" t="inlineStr">
        <is>
          <t>=C33-C34</t>
        </is>
      </c>
    </row>
    <row r="36">
      <c r="A36" s="25" t="inlineStr">
        <is>
          <t>Dekningsbidrag (DB) med tilskot</t>
        </is>
      </c>
      <c r="B36" s="26" t="inlineStr">
        <is>
          <t>Utrekna</t>
        </is>
      </c>
      <c r="C36" s="27">
        <f>C35+C17</f>
        <v/>
      </c>
      <c r="D36" s="28" t="inlineStr">
        <is>
          <t>kr</t>
        </is>
      </c>
      <c r="E36" s="29" t="inlineStr">
        <is>
          <t>Dekningsbidrag (DB) med tilskot = Dekningsbidrag (DB) utan tilskot [C35] + Produksjonstilskot fordelt på produksjonen [C17]</t>
        </is>
      </c>
      <c r="F36" s="30" t="inlineStr">
        <is>
          <t>=C35+C17</t>
        </is>
      </c>
    </row>
    <row r="37">
      <c r="A37" s="20" t="inlineStr">
        <is>
          <t>DB m/tilskot etter maskin- og innandørskostnad</t>
        </is>
      </c>
      <c r="B37" s="21" t="inlineStr">
        <is>
          <t>Utrekna</t>
        </is>
      </c>
      <c r="C37" s="22">
        <f>C36-C30-C31</f>
        <v/>
      </c>
      <c r="D37" s="12" t="inlineStr">
        <is>
          <t>kr</t>
        </is>
      </c>
      <c r="E37" s="23" t="inlineStr">
        <is>
          <t>DB m/tilskot etter maskin- og innandørskostnad = Dekningsbidrag (DB) med tilskot [C36] − Maskinkostnader fordelt [C30] − Innandørsmekanisering fordelt [C31]</t>
        </is>
      </c>
      <c r="F37" s="24" t="inlineStr">
        <is>
          <t>=C36-C30-C31</t>
        </is>
      </c>
    </row>
    <row r="38">
      <c r="A38" s="20" t="inlineStr">
        <is>
          <t>Tal kull</t>
        </is>
      </c>
      <c r="B38" s="21" t="inlineStr">
        <is>
          <t>Utrekna</t>
        </is>
      </c>
      <c r="C38" s="36">
        <f>C7*C8</f>
        <v/>
      </c>
      <c r="D38" s="12" t="inlineStr">
        <is>
          <t>stk</t>
        </is>
      </c>
      <c r="E38" s="23" t="inlineStr">
        <is>
          <t>Tal kull = Tal årspurker [C7] × Tal kull pr purke [C8]</t>
        </is>
      </c>
      <c r="F38" s="24" t="inlineStr">
        <is>
          <t>=C7*C8</t>
        </is>
      </c>
    </row>
    <row r="39">
      <c r="A39" s="20" t="inlineStr">
        <is>
          <t>Produsert tal gris</t>
        </is>
      </c>
      <c r="B39" s="21" t="inlineStr">
        <is>
          <t>Utrekna</t>
        </is>
      </c>
      <c r="C39" s="22">
        <f>C12+C13-C14+C11-C10</f>
        <v/>
      </c>
      <c r="D39" s="12" t="inlineStr">
        <is>
          <t>stk</t>
        </is>
      </c>
      <c r="E39" s="23" t="inlineStr">
        <is>
          <t>Produsert tal gris = Tal slaktegris levert [C12] + Tal smågris selt [C13] − Tal kjøpte gris [C14] + Tal gris pr 31.12. [C11] − Tal gris pr 1.1. [C10]</t>
        </is>
      </c>
      <c r="F39" s="24" t="inlineStr">
        <is>
          <t>=C12+C13-C14+C11-C10</t>
        </is>
      </c>
    </row>
    <row r="40">
      <c r="A40" s="18" t="inlineStr">
        <is>
          <t>5. OUTPUT – Per eining (pr årspurke)</t>
        </is>
      </c>
      <c r="B40" s="19" t="n"/>
      <c r="C40" s="19" t="n"/>
      <c r="D40" s="19" t="n"/>
      <c r="E40" s="19" t="n"/>
      <c r="F40" s="19" t="n"/>
    </row>
    <row r="41">
      <c r="A41" s="18" t="inlineStr">
        <is>
          <t>Produksjonsinntekter pr årspurke</t>
        </is>
      </c>
      <c r="B41" s="19" t="n"/>
      <c r="C41" s="19" t="n"/>
      <c r="D41" s="19" t="n"/>
      <c r="E41" s="19" t="n"/>
      <c r="F41" s="19" t="n"/>
    </row>
    <row r="42">
      <c r="A42" s="20" t="inlineStr">
        <is>
          <t>Sal av smågris</t>
        </is>
      </c>
      <c r="B42" s="21" t="inlineStr">
        <is>
          <t>Utrekna</t>
        </is>
      </c>
      <c r="C42" s="38">
        <f>IF((C7)=0,0,(C18)/(C7))</f>
        <v/>
      </c>
      <c r="D42" s="12" t="inlineStr">
        <is>
          <t>kr</t>
        </is>
      </c>
      <c r="E42" s="23" t="inlineStr">
        <is>
          <t>Sal av smågris = Sal av smågris [C18] ÷ Tal årspurker [C7]</t>
        </is>
      </c>
      <c r="F42" s="24" t="inlineStr">
        <is>
          <t>=IF((C7)=0,0,(C18)/(C7))</t>
        </is>
      </c>
    </row>
    <row r="43">
      <c r="A43" s="20" t="inlineStr">
        <is>
          <t>Sal av slaktegris</t>
        </is>
      </c>
      <c r="B43" s="21" t="inlineStr">
        <is>
          <t>Utrekna</t>
        </is>
      </c>
      <c r="C43" s="38">
        <f>IF((C7)=0,0,(C19)/(C7))</f>
        <v/>
      </c>
      <c r="D43" s="12" t="inlineStr">
        <is>
          <t>kr</t>
        </is>
      </c>
      <c r="E43" s="23" t="inlineStr">
        <is>
          <t>Sal av slaktegris = Sal av slaktegris [C19] ÷ Tal årspurker [C7]</t>
        </is>
      </c>
      <c r="F43" s="24" t="inlineStr">
        <is>
          <t>=IF((C7)=0,0,(C19)/(C7))</t>
        </is>
      </c>
    </row>
    <row r="44">
      <c r="A44" s="20" t="inlineStr">
        <is>
          <t>Purkeslakt</t>
        </is>
      </c>
      <c r="B44" s="21" t="inlineStr">
        <is>
          <t>Utrekna</t>
        </is>
      </c>
      <c r="C44" s="38">
        <f>IF((C7)=0,0,(C20)/(C7))</f>
        <v/>
      </c>
      <c r="D44" s="12" t="inlineStr">
        <is>
          <t>kr</t>
        </is>
      </c>
      <c r="E44" s="23" t="inlineStr">
        <is>
          <t>Purkeslakt = Purkeslakt [C20] ÷ Tal årspurker [C7]</t>
        </is>
      </c>
      <c r="F44" s="24" t="inlineStr">
        <is>
          <t>=IF((C7)=0,0,(C20)/(C7))</t>
        </is>
      </c>
    </row>
    <row r="45">
      <c r="A45" s="20" t="inlineStr">
        <is>
          <t>Buskap, beholdningsendring (+ = auke)</t>
        </is>
      </c>
      <c r="B45" s="21" t="inlineStr">
        <is>
          <t>Utrekna</t>
        </is>
      </c>
      <c r="C45" s="38">
        <f>IF((C7)=0,0,(C21)/(C7))</f>
        <v/>
      </c>
      <c r="D45" s="12" t="inlineStr">
        <is>
          <t>kr</t>
        </is>
      </c>
      <c r="E45" s="23" t="inlineStr">
        <is>
          <t>Buskap, beholdningsendring (+ = auke) = Buskap, beholdningsendring (+ = auke) [C21] ÷ Tal årspurker [C7]</t>
        </is>
      </c>
      <c r="F45" s="24" t="inlineStr">
        <is>
          <t>=IF((C7)=0,0,(C21)/(C7))</t>
        </is>
      </c>
    </row>
    <row r="46">
      <c r="A46" s="20" t="inlineStr">
        <is>
          <t>Andre inntekter</t>
        </is>
      </c>
      <c r="B46" s="21" t="inlineStr">
        <is>
          <t>Utrekna</t>
        </is>
      </c>
      <c r="C46" s="38">
        <f>IF((C7)=0,0,(C22)/(C7))</f>
        <v/>
      </c>
      <c r="D46" s="12" t="inlineStr">
        <is>
          <t>kr</t>
        </is>
      </c>
      <c r="E46" s="23" t="inlineStr">
        <is>
          <t>Andre inntekter = Andre inntekter [C22] ÷ Tal årspurker [C7]</t>
        </is>
      </c>
      <c r="F46" s="24" t="inlineStr">
        <is>
          <t>=IF((C7)=0,0,(C22)/(C7))</t>
        </is>
      </c>
    </row>
    <row r="47">
      <c r="A47" s="20" t="inlineStr">
        <is>
          <t>Produksjonsinntekter i alt</t>
        </is>
      </c>
      <c r="B47" s="21" t="inlineStr">
        <is>
          <t>Utrekna</t>
        </is>
      </c>
      <c r="C47" s="38">
        <f>IF((C7)=0,0,(C33)/(C7))</f>
        <v/>
      </c>
      <c r="D47" s="12" t="inlineStr">
        <is>
          <t>kr</t>
        </is>
      </c>
      <c r="E47" s="23" t="inlineStr">
        <is>
          <t>Produksjonsinntekter i alt = Produksjonsinntekter i alt [C33] ÷ Tal årspurker [C7]</t>
        </is>
      </c>
      <c r="F47" s="24" t="inlineStr">
        <is>
          <t>=IF((C7)=0,0,(C33)/(C7))</t>
        </is>
      </c>
    </row>
    <row r="48">
      <c r="A48" s="18" t="inlineStr">
        <is>
          <t>Variable kostnader pr årspurke</t>
        </is>
      </c>
      <c r="B48" s="19" t="n"/>
      <c r="C48" s="19" t="n"/>
      <c r="D48" s="19" t="n"/>
      <c r="E48" s="19" t="n"/>
      <c r="F48" s="19" t="n"/>
    </row>
    <row r="49">
      <c r="A49" s="20" t="inlineStr">
        <is>
          <t>Kraftfôr mm.</t>
        </is>
      </c>
      <c r="B49" s="21" t="inlineStr">
        <is>
          <t>Utrekna</t>
        </is>
      </c>
      <c r="C49" s="38">
        <f>IF((C7)=0,0,(C24)/(C7))</f>
        <v/>
      </c>
      <c r="D49" s="12" t="inlineStr">
        <is>
          <t>kr</t>
        </is>
      </c>
      <c r="E49" s="23" t="inlineStr">
        <is>
          <t>Kraftfôr mm. = Kraftfôr mm. [C24] ÷ Tal årspurker [C7]</t>
        </is>
      </c>
      <c r="F49" s="24" t="inlineStr">
        <is>
          <t>=IF((C7)=0,0,(C24)/(C7))</t>
        </is>
      </c>
    </row>
    <row r="50">
      <c r="A50" s="20" t="inlineStr">
        <is>
          <t>Veterinær, medisin, inseminering</t>
        </is>
      </c>
      <c r="B50" s="21" t="inlineStr">
        <is>
          <t>Utrekna</t>
        </is>
      </c>
      <c r="C50" s="38">
        <f>IF((C7)=0,0,(C25)/(C7))</f>
        <v/>
      </c>
      <c r="D50" s="12" t="inlineStr">
        <is>
          <t>kr</t>
        </is>
      </c>
      <c r="E50" s="23" t="inlineStr">
        <is>
          <t>Veterinær, medisin, inseminering = Veterinær, medisin, inseminering [C25] ÷ Tal årspurker [C7]</t>
        </is>
      </c>
      <c r="F50" s="24" t="inlineStr">
        <is>
          <t>=IF((C7)=0,0,(C25)/(C7))</t>
        </is>
      </c>
    </row>
    <row r="51">
      <c r="A51" s="20" t="inlineStr">
        <is>
          <t>Innkjøp dyr</t>
        </is>
      </c>
      <c r="B51" s="21" t="inlineStr">
        <is>
          <t>Utrekna</t>
        </is>
      </c>
      <c r="C51" s="38">
        <f>IF((C7)=0,0,(C26)/(C7))</f>
        <v/>
      </c>
      <c r="D51" s="12" t="inlineStr">
        <is>
          <t>kr</t>
        </is>
      </c>
      <c r="E51" s="23" t="inlineStr">
        <is>
          <t>Innkjøp dyr = Innkjøp dyr [C26] ÷ Tal årspurker [C7]</t>
        </is>
      </c>
      <c r="F51" s="24" t="inlineStr">
        <is>
          <t>=IF((C7)=0,0,(C26)/(C7))</t>
        </is>
      </c>
    </row>
    <row r="52">
      <c r="A52" s="20" t="inlineStr">
        <is>
          <t>Andre variable kostnader</t>
        </is>
      </c>
      <c r="B52" s="21" t="inlineStr">
        <is>
          <t>Utrekna</t>
        </is>
      </c>
      <c r="C52" s="38">
        <f>IF((C7)=0,0,(C27)/(C7))</f>
        <v/>
      </c>
      <c r="D52" s="12" t="inlineStr">
        <is>
          <t>kr</t>
        </is>
      </c>
      <c r="E52" s="23" t="inlineStr">
        <is>
          <t>Andre variable kostnader = Andre variable kostnader [C27] ÷ Tal årspurker [C7]</t>
        </is>
      </c>
      <c r="F52" s="24" t="inlineStr">
        <is>
          <t>=IF((C7)=0,0,(C27)/(C7))</t>
        </is>
      </c>
    </row>
    <row r="53">
      <c r="A53" s="20" t="inlineStr">
        <is>
          <t>Purkeleige</t>
        </is>
      </c>
      <c r="B53" s="21" t="inlineStr">
        <is>
          <t>Utrekna</t>
        </is>
      </c>
      <c r="C53" s="38">
        <f>IF((C7)=0,0,(C28)/(C7))</f>
        <v/>
      </c>
      <c r="D53" s="12" t="inlineStr">
        <is>
          <t>kr</t>
        </is>
      </c>
      <c r="E53" s="23" t="inlineStr">
        <is>
          <t>Purkeleige = Purkeleige [C28] ÷ Tal årspurker [C7]</t>
        </is>
      </c>
      <c r="F53" s="24" t="inlineStr">
        <is>
          <t>=IF((C7)=0,0,(C28)/(C7))</t>
        </is>
      </c>
    </row>
    <row r="54">
      <c r="A54" s="20" t="inlineStr">
        <is>
          <t>Sum variable kostnader</t>
        </is>
      </c>
      <c r="B54" s="21" t="inlineStr">
        <is>
          <t>Utrekna</t>
        </is>
      </c>
      <c r="C54" s="38">
        <f>IF((C7)=0,0,(C34)/(C7))</f>
        <v/>
      </c>
      <c r="D54" s="12" t="inlineStr">
        <is>
          <t>kr</t>
        </is>
      </c>
      <c r="E54" s="23" t="inlineStr">
        <is>
          <t>Sum variable kostnader = Variable kostnader i alt [C34] ÷ Tal årspurker [C7]</t>
        </is>
      </c>
      <c r="F54" s="24" t="inlineStr">
        <is>
          <t>=IF((C7)=0,0,(C34)/(C7))</t>
        </is>
      </c>
    </row>
    <row r="55">
      <c r="A55" s="18" t="inlineStr">
        <is>
          <t>Resultat pr årspurke</t>
        </is>
      </c>
      <c r="B55" s="19" t="n"/>
      <c r="C55" s="19" t="n"/>
      <c r="D55" s="19" t="n"/>
      <c r="E55" s="19" t="n"/>
      <c r="F55" s="19" t="n"/>
    </row>
    <row r="56">
      <c r="A56" s="20" t="inlineStr">
        <is>
          <t>DB utan tilskot</t>
        </is>
      </c>
      <c r="B56" s="21" t="inlineStr">
        <is>
          <t>Utrekna</t>
        </is>
      </c>
      <c r="C56" s="38">
        <f>IF((C7)=0,0,(C35)/(C7))</f>
        <v/>
      </c>
      <c r="D56" s="12" t="inlineStr">
        <is>
          <t>kr</t>
        </is>
      </c>
      <c r="E56" s="23" t="inlineStr">
        <is>
          <t>DB utan tilskot = Dekningsbidrag (DB) utan tilskot [C35] ÷ Tal årspurker [C7]</t>
        </is>
      </c>
      <c r="F56" s="24" t="inlineStr">
        <is>
          <t>=IF((C7)=0,0,(C35)/(C7))</t>
        </is>
      </c>
    </row>
    <row r="57">
      <c r="A57" s="20" t="inlineStr">
        <is>
          <t>Tilskot</t>
        </is>
      </c>
      <c r="B57" s="21" t="inlineStr">
        <is>
          <t>Utrekna</t>
        </is>
      </c>
      <c r="C57" s="38">
        <f>IF((C7)=0,0,(C17)/(C7))</f>
        <v/>
      </c>
      <c r="D57" s="12" t="inlineStr">
        <is>
          <t>kr</t>
        </is>
      </c>
      <c r="E57" s="23" t="inlineStr">
        <is>
          <t>Tilskot = Produksjonstilskot fordelt på produksjonen [C17] ÷ Tal årspurker [C7]</t>
        </is>
      </c>
      <c r="F57" s="24" t="inlineStr">
        <is>
          <t>=IF((C7)=0,0,(C17)/(C7))</t>
        </is>
      </c>
    </row>
    <row r="58">
      <c r="A58" s="20" t="inlineStr">
        <is>
          <t>DB med tilskot</t>
        </is>
      </c>
      <c r="B58" s="21" t="inlineStr">
        <is>
          <t>Utrekna</t>
        </is>
      </c>
      <c r="C58" s="38">
        <f>IF((C7)=0,0,(C36)/(C7))</f>
        <v/>
      </c>
      <c r="D58" s="12" t="inlineStr">
        <is>
          <t>kr</t>
        </is>
      </c>
      <c r="E58" s="23" t="inlineStr">
        <is>
          <t>DB med tilskot = Dekningsbidrag (DB) med tilskot [C36] ÷ Tal årspurker [C7]</t>
        </is>
      </c>
      <c r="F58" s="24" t="inlineStr">
        <is>
          <t>=IF((C7)=0,0,(C36)/(C7))</t>
        </is>
      </c>
    </row>
    <row r="59">
      <c r="A59" s="20" t="inlineStr">
        <is>
          <t>Maskinkostnader</t>
        </is>
      </c>
      <c r="B59" s="21" t="inlineStr">
        <is>
          <t>Utrekna</t>
        </is>
      </c>
      <c r="C59" s="38">
        <f>IF((C7)=0,0,(C30)/(C7))</f>
        <v/>
      </c>
      <c r="D59" s="12" t="inlineStr">
        <is>
          <t>kr</t>
        </is>
      </c>
      <c r="E59" s="23" t="inlineStr">
        <is>
          <t>Maskinkostnader = Maskinkostnader fordelt [C30] ÷ Tal årspurker [C7]</t>
        </is>
      </c>
      <c r="F59" s="24" t="inlineStr">
        <is>
          <t>=IF((C7)=0,0,(C30)/(C7))</t>
        </is>
      </c>
    </row>
    <row r="60">
      <c r="A60" s="20" t="inlineStr">
        <is>
          <t>Innandørsmekanisering</t>
        </is>
      </c>
      <c r="B60" s="21" t="inlineStr">
        <is>
          <t>Utrekna</t>
        </is>
      </c>
      <c r="C60" s="38">
        <f>IF((C7)=0,0,(C31)/(C7))</f>
        <v/>
      </c>
      <c r="D60" s="12" t="inlineStr">
        <is>
          <t>kr</t>
        </is>
      </c>
      <c r="E60" s="23" t="inlineStr">
        <is>
          <t>Innandørsmekanisering = Innandørsmekanisering fordelt [C31] ÷ Tal årspurker [C7]</t>
        </is>
      </c>
      <c r="F60" s="24" t="inlineStr">
        <is>
          <t>=IF((C7)=0,0,(C31)/(C7))</t>
        </is>
      </c>
    </row>
    <row r="61">
      <c r="A61" s="20" t="inlineStr">
        <is>
          <t>DB m/tilskot etter maskin og innandørsmek.</t>
        </is>
      </c>
      <c r="B61" s="21" t="inlineStr">
        <is>
          <t>Utrekna</t>
        </is>
      </c>
      <c r="C61" s="38">
        <f>IF((C7)=0,0,(C37)/(C7))</f>
        <v/>
      </c>
      <c r="D61" s="12" t="inlineStr">
        <is>
          <t>kr</t>
        </is>
      </c>
      <c r="E61" s="23" t="inlineStr">
        <is>
          <t>DB m/tilskot etter maskin og innandørsmek. = DB m/tilskot etter maskin- og innandørskostnad [C37] ÷ Tal årspurker [C7]</t>
        </is>
      </c>
      <c r="F61" s="24" t="inlineStr">
        <is>
          <t>=IF((C7)=0,0,(C37)/(C7))</t>
        </is>
      </c>
    </row>
    <row r="62">
      <c r="A62" s="18" t="inlineStr">
        <is>
          <t>6. OUTPUT – Nøkkeltal</t>
        </is>
      </c>
      <c r="B62" s="19" t="n"/>
      <c r="C62" s="19" t="n"/>
      <c r="D62" s="19" t="n"/>
      <c r="E62" s="19" t="n"/>
      <c r="F62" s="19" t="n"/>
    </row>
    <row r="63">
      <c r="A63" s="25" t="inlineStr">
        <is>
          <t>DB pr årspurke u/tilskot</t>
        </is>
      </c>
      <c r="B63" s="26" t="inlineStr">
        <is>
          <t>Utrekna</t>
        </is>
      </c>
      <c r="C63" s="39">
        <f>IF((C7)=0,0,(C35)/(C7))</f>
        <v/>
      </c>
      <c r="D63" s="28" t="inlineStr">
        <is>
          <t>kr</t>
        </is>
      </c>
      <c r="E63" s="29" t="inlineStr">
        <is>
          <t>DB pr årspurke u/tilskot = Dekningsbidrag (DB) utan tilskot [C35] ÷ Tal årspurker [C7]</t>
        </is>
      </c>
      <c r="F63" s="30" t="inlineStr">
        <is>
          <t>=IF((C7)=0,0,(C35)/(C7))</t>
        </is>
      </c>
    </row>
    <row r="64">
      <c r="A64" s="25" t="inlineStr">
        <is>
          <t>DB pr årspurke m/tilskot</t>
        </is>
      </c>
      <c r="B64" s="26" t="inlineStr">
        <is>
          <t>Utrekna</t>
        </is>
      </c>
      <c r="C64" s="39">
        <f>IF((C7)=0,0,(C36)/(C7))</f>
        <v/>
      </c>
      <c r="D64" s="28" t="inlineStr">
        <is>
          <t>kr</t>
        </is>
      </c>
      <c r="E64" s="29" t="inlineStr">
        <is>
          <t>DB pr årspurke m/tilskot = Dekningsbidrag (DB) med tilskot [C36] ÷ Tal årspurker [C7]</t>
        </is>
      </c>
      <c r="F64" s="30" t="inlineStr">
        <is>
          <t>=IF((C7)=0,0,(C36)/(C7))</t>
        </is>
      </c>
    </row>
    <row r="65">
      <c r="A65" s="25" t="inlineStr">
        <is>
          <t>DB pr kull u/tilskot</t>
        </is>
      </c>
      <c r="B65" s="26" t="inlineStr">
        <is>
          <t>Utrekna</t>
        </is>
      </c>
      <c r="C65" s="39">
        <f>IF((C38)=0,0,(C35)/(C38))</f>
        <v/>
      </c>
      <c r="D65" s="28" t="inlineStr">
        <is>
          <t>kr</t>
        </is>
      </c>
      <c r="E65" s="29" t="inlineStr">
        <is>
          <t>DB pr kull u/tilskot = Dekningsbidrag (DB) utan tilskot [C35] ÷ Tal kull [C38]</t>
        </is>
      </c>
      <c r="F65" s="30" t="inlineStr">
        <is>
          <t>=IF((C38)=0,0,(C35)/(C38))</t>
        </is>
      </c>
    </row>
    <row r="66">
      <c r="A66" s="25" t="inlineStr">
        <is>
          <t>DB pr kull m/tilskot</t>
        </is>
      </c>
      <c r="B66" s="26" t="inlineStr">
        <is>
          <t>Utrekna</t>
        </is>
      </c>
      <c r="C66" s="39">
        <f>IF((C38)=0,0,(C36)/(C38))</f>
        <v/>
      </c>
      <c r="D66" s="28" t="inlineStr">
        <is>
          <t>kr</t>
        </is>
      </c>
      <c r="E66" s="29" t="inlineStr">
        <is>
          <t>DB pr kull m/tilskot = Dekningsbidrag (DB) med tilskot [C36] ÷ Tal kull [C38]</t>
        </is>
      </c>
      <c r="F66" s="30" t="inlineStr">
        <is>
          <t>=IF((C38)=0,0,(C36)/(C38))</t>
        </is>
      </c>
    </row>
    <row r="67">
      <c r="A67" s="25" t="inlineStr">
        <is>
          <t>Maskinkostnader pr kull</t>
        </is>
      </c>
      <c r="B67" s="26" t="inlineStr">
        <is>
          <t>Utrekna</t>
        </is>
      </c>
      <c r="C67" s="39">
        <f>IF((C38)=0,0,(C30)/(C38))</f>
        <v/>
      </c>
      <c r="D67" s="28" t="inlineStr">
        <is>
          <t>kr</t>
        </is>
      </c>
      <c r="E67" s="29" t="inlineStr">
        <is>
          <t>Maskinkostnader pr kull = Maskinkostnader fordelt [C30] ÷ Tal kull [C38]</t>
        </is>
      </c>
      <c r="F67" s="30" t="inlineStr">
        <is>
          <t>=IF((C38)=0,0,(C30)/(C38))</t>
        </is>
      </c>
    </row>
    <row r="68">
      <c r="A68" s="25" t="inlineStr">
        <is>
          <t>Innandørsmekanisering pr kull</t>
        </is>
      </c>
      <c r="B68" s="26" t="inlineStr">
        <is>
          <t>Utrekna</t>
        </is>
      </c>
      <c r="C68" s="39">
        <f>IF((C38)=0,0,(C31)/(C38))</f>
        <v/>
      </c>
      <c r="D68" s="28" t="inlineStr">
        <is>
          <t>kr</t>
        </is>
      </c>
      <c r="E68" s="29" t="inlineStr">
        <is>
          <t>Innandørsmekanisering pr kull = Innandørsmekanisering fordelt [C31] ÷ Tal kull [C38]</t>
        </is>
      </c>
      <c r="F68" s="30" t="inlineStr">
        <is>
          <t>=IF((C38)=0,0,(C31)/(C38))</t>
        </is>
      </c>
    </row>
    <row r="69">
      <c r="A69" s="25" t="inlineStr">
        <is>
          <t>Maskinkostnader pr purke</t>
        </is>
      </c>
      <c r="B69" s="26" t="inlineStr">
        <is>
          <t>Utrekna</t>
        </is>
      </c>
      <c r="C69" s="39">
        <f>IF((C7)=0,0,(C30)/(C7))</f>
        <v/>
      </c>
      <c r="D69" s="28" t="inlineStr">
        <is>
          <t>kr</t>
        </is>
      </c>
      <c r="E69" s="29" t="inlineStr">
        <is>
          <t>Maskinkostnader pr purke = Maskinkostnader fordelt [C30] ÷ Tal årspurker [C7]</t>
        </is>
      </c>
      <c r="F69" s="30" t="inlineStr">
        <is>
          <t>=IF((C7)=0,0,(C30)/(C7))</t>
        </is>
      </c>
    </row>
    <row r="70">
      <c r="A70" s="25" t="inlineStr">
        <is>
          <t>Innandørsmekanisering pr purke</t>
        </is>
      </c>
      <c r="B70" s="26" t="inlineStr">
        <is>
          <t>Utrekna</t>
        </is>
      </c>
      <c r="C70" s="39">
        <f>IF((C7)=0,0,(C31)/(C7))</f>
        <v/>
      </c>
      <c r="D70" s="28" t="inlineStr">
        <is>
          <t>kr</t>
        </is>
      </c>
      <c r="E70" s="29" t="inlineStr">
        <is>
          <t>Innandørsmekanisering pr purke = Innandørsmekanisering fordelt [C31] ÷ Tal årspurker [C7]</t>
        </is>
      </c>
      <c r="F70" s="30" t="inlineStr">
        <is>
          <t>=IF((C7)=0,0,(C31)/(C7))</t>
        </is>
      </c>
    </row>
    <row r="71">
      <c r="A71" s="25" t="inlineStr">
        <is>
          <t>DB pr m² husdyrrom</t>
        </is>
      </c>
      <c r="B71" s="26" t="inlineStr">
        <is>
          <t>Utrekna</t>
        </is>
      </c>
      <c r="C71" s="39">
        <f>IF((C9)=0,0,(C35)/(C9))</f>
        <v/>
      </c>
      <c r="D71" s="28" t="inlineStr">
        <is>
          <t>kr</t>
        </is>
      </c>
      <c r="E71" s="29" t="inlineStr">
        <is>
          <t>DB pr m² husdyrrom = Dekningsbidrag (DB) utan tilskot [C35] ÷ Husdyrrom [C9]</t>
        </is>
      </c>
      <c r="F71" s="30" t="inlineStr">
        <is>
          <t>=IF((C9)=0,0,(C35)/(C9))</t>
        </is>
      </c>
    </row>
    <row r="72">
      <c r="A72" s="25" t="inlineStr">
        <is>
          <t>Oppnådd kjøtpris pr kg slakt</t>
        </is>
      </c>
      <c r="B72" s="26" t="inlineStr">
        <is>
          <t>Utrekna</t>
        </is>
      </c>
      <c r="C72" s="39">
        <f>IF((C15)=0,0,(C19+C20)/(C15))</f>
        <v/>
      </c>
      <c r="D72" s="28" t="inlineStr">
        <is>
          <t>kr</t>
        </is>
      </c>
      <c r="E72" s="29" t="inlineStr">
        <is>
          <t>Oppnådd kjøtpris pr kg slakt = (Sal av slaktegris [C19] + Purkeslakt [C20]) ÷ Kg slakt [C15]</t>
        </is>
      </c>
      <c r="F72" s="30" t="inlineStr">
        <is>
          <t>=IF((C15)=0,0,(C19+C20)/(C15))</t>
        </is>
      </c>
    </row>
    <row r="73">
      <c r="A73" s="25" t="inlineStr">
        <is>
          <t>Oppnådd pris pr smågris</t>
        </is>
      </c>
      <c r="B73" s="26" t="inlineStr">
        <is>
          <t>Utrekna</t>
        </is>
      </c>
      <c r="C73" s="39">
        <f>IF((C13)=0,0,(C18)/(C13))</f>
        <v/>
      </c>
      <c r="D73" s="28" t="inlineStr">
        <is>
          <t>kr</t>
        </is>
      </c>
      <c r="E73" s="29" t="inlineStr">
        <is>
          <t>Oppnådd pris pr smågris = Sal av smågris [C18] ÷ Tal smågris selt [C13]</t>
        </is>
      </c>
      <c r="F73" s="30" t="inlineStr">
        <is>
          <t>=IF((C13)=0,0,(C18)/(C13))</t>
        </is>
      </c>
    </row>
    <row r="74">
      <c r="A74" s="25" t="inlineStr">
        <is>
          <t>Produsert tal gris pr purke</t>
        </is>
      </c>
      <c r="B74" s="26" t="inlineStr">
        <is>
          <t>Utrekna</t>
        </is>
      </c>
      <c r="C74" s="37">
        <f>IF((C7)=0,0,(C39)/(C7))</f>
        <v/>
      </c>
      <c r="D74" s="28" t="inlineStr">
        <is>
          <t>stk</t>
        </is>
      </c>
      <c r="E74" s="29" t="inlineStr">
        <is>
          <t>Produsert tal gris pr purke = Produsert tal gris [C39] ÷ Tal årspurker [C7]</t>
        </is>
      </c>
      <c r="F74" s="30" t="inlineStr">
        <is>
          <t>=IF((C7)=0,0,(C39)/(C7))</t>
        </is>
      </c>
    </row>
    <row r="75">
      <c r="A75" s="25" t="inlineStr">
        <is>
          <t>Produsert tal gris pr kull</t>
        </is>
      </c>
      <c r="B75" s="26" t="inlineStr">
        <is>
          <t>Utrekna</t>
        </is>
      </c>
      <c r="C75" s="37">
        <f>IF((C38)=0,0,(C39)/(C38))</f>
        <v/>
      </c>
      <c r="D75" s="28" t="inlineStr">
        <is>
          <t>stk</t>
        </is>
      </c>
      <c r="E75" s="29" t="inlineStr">
        <is>
          <t>Produsert tal gris pr kull = Produsert tal gris [C39] ÷ Tal kull [C38]</t>
        </is>
      </c>
      <c r="F75" s="30" t="inlineStr">
        <is>
          <t>=IF((C38)=0,0,(C39)/(C38))</t>
        </is>
      </c>
    </row>
    <row r="76">
      <c r="A76" s="25" t="inlineStr">
        <is>
          <t>Framfôringsprosent</t>
        </is>
      </c>
      <c r="B76" s="26" t="inlineStr">
        <is>
          <t>Utrekna</t>
        </is>
      </c>
      <c r="C76" s="33">
        <f>IF((C12+C13+C14)=0,0,(C12)/(C12+C13+C14))</f>
        <v/>
      </c>
      <c r="D76" s="28" t="inlineStr">
        <is>
          <t>%</t>
        </is>
      </c>
      <c r="E76" s="29" t="inlineStr">
        <is>
          <t>Framfôringsprosent = Tal slaktegris levert [C12] ÷ (Tal slaktegris levert [C12] + Tal smågris selt [C13] + Tal kjøpte gris [C14])</t>
        </is>
      </c>
      <c r="F76" s="30" t="inlineStr">
        <is>
          <t>=IF((C12+C13+C14)=0,0,(C12)/(C12+C13+C14))</t>
        </is>
      </c>
    </row>
    <row r="77">
      <c r="A77" s="25" t="inlineStr">
        <is>
          <t>Analysegruppe (oppdrett)</t>
        </is>
      </c>
      <c r="B77" s="26" t="inlineStr">
        <is>
          <t>Utrekna</t>
        </is>
      </c>
      <c r="C77" s="41">
        <f>IF(IF((C12+C13+C14)=0,0,(C12)/(C12+C13+C14))&gt;=0.5,"&gt; 50 % oppdrett","&lt; 50 % oppdrett")</f>
        <v/>
      </c>
      <c r="D77" s="28" t="inlineStr">
        <is>
          <t>tekst</t>
        </is>
      </c>
      <c r="E77" s="29" t="inlineStr">
        <is>
          <t>Analysegruppe (oppdrett) = HVIS(Tal slaktegris levert [C12] ÷ (Tal slaktegris levert [C12] + Tal smågris selt [C13] + Tal kjøpte gris [C14])&gt;=0,5; "&gt; 50 % oppdrett"; "&lt; 50 % oppdrett")</t>
        </is>
      </c>
      <c r="F77" s="30" t="inlineStr">
        <is>
          <t>=IF(IF((C12+C13+C14)=0,0,(C12)/(C12+C13+C14))&gt;=0.5,"&gt; 50 % oppdrett","&lt; 50 % oppdrett")</t>
        </is>
      </c>
    </row>
  </sheetData>
  <pageMargins left="0.75" right="0.75" top="1" bottom="1" header="0.5" footer="0.5"/>
  <pageSetup orientation="landscape" fitToHeight="0" fitToWidth="1"/>
</worksheet>
</file>

<file path=xl/worksheets/sheet21.xml><?xml version="1.0" encoding="utf-8"?>
<worksheet xmlns="http://schemas.openxmlformats.org/spreadsheetml/2006/main">
  <sheetPr>
    <outlinePr summaryBelow="1" summaryRight="1"/>
    <pageSetUpPr fitToPage="1"/>
  </sheetPr>
  <dimension ref="A1:F64"/>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0" customWidth="1" min="1" max="1"/>
    <col width="34" customWidth="1" min="2" max="2"/>
    <col width="16" customWidth="1" min="3" max="3"/>
    <col width="10" customWidth="1" min="4" max="4"/>
    <col width="78" customWidth="1" min="5" max="5"/>
    <col width="46" customWidth="1" min="6" max="6"/>
  </cols>
  <sheetData>
    <row r="1" ht="22" customHeight="1">
      <c r="A1" s="1" t="inlineStr">
        <is>
          <t>Slaktegrisproduksjon  –  driftsgrein 6220</t>
        </is>
      </c>
    </row>
    <row r="2">
      <c r="A2" s="7" t="inlineStr">
        <is>
          <t>Slaktegris (driftsgrein 6220).</t>
        </is>
      </c>
    </row>
    <row r="3">
      <c r="A3" s="8" t="inlineStr">
        <is>
          <t>Fargekodar:  blå tal på gul botn = input (skal fyllast inn)   ·   svart = formel   ·   grøn = lenkje frå anna ark.   Alle kronebeløp er positive (inntekt og kostnad).</t>
        </is>
      </c>
    </row>
    <row r="5">
      <c r="A5" s="17" t="inlineStr">
        <is>
          <t>Post</t>
        </is>
      </c>
      <c r="B5" s="17" t="inlineStr">
        <is>
          <t>Kjelde / Tripletex-konto</t>
        </is>
      </c>
      <c r="C5" s="17" t="inlineStr">
        <is>
          <t>Verdi</t>
        </is>
      </c>
      <c r="D5" s="17" t="inlineStr">
        <is>
          <t>Eining</t>
        </is>
      </c>
      <c r="E5" s="17" t="inlineStr">
        <is>
          <t>Formel forklart (korleis outputen blir rekna)</t>
        </is>
      </c>
      <c r="F5" s="17" t="inlineStr">
        <is>
          <t>Excel-formel</t>
        </is>
      </c>
    </row>
    <row r="6">
      <c r="A6" s="18" t="inlineStr">
        <is>
          <t>1. INPUT – Produksjonsdata (frå produksjonstabell / teljingar)</t>
        </is>
      </c>
      <c r="B6" s="19" t="n"/>
      <c r="C6" s="19" t="n"/>
      <c r="D6" s="19" t="n"/>
      <c r="E6" s="19" t="n"/>
      <c r="F6" s="19" t="n"/>
    </row>
    <row r="7">
      <c r="A7" s="20" t="inlineStr">
        <is>
          <t>Tal produserte slaktegris</t>
        </is>
      </c>
      <c r="B7" s="24" t="inlineStr">
        <is>
          <t>Produksjonstabell (EnhetAntall)</t>
        </is>
      </c>
      <c r="C7" s="31" t="n">
        <v>700</v>
      </c>
      <c r="D7" s="12" t="inlineStr">
        <is>
          <t>stk</t>
        </is>
      </c>
      <c r="E7" s="24" t="inlineStr">
        <is>
          <t>Input. Hentast frå: Produksjonstabell (EnhetAntall).</t>
        </is>
      </c>
      <c r="F7" s="32" t="n"/>
    </row>
    <row r="8">
      <c r="A8" s="20" t="inlineStr">
        <is>
          <t>Kg slakt</t>
        </is>
      </c>
      <c r="B8" s="24" t="inlineStr">
        <is>
          <t>Mengde 2 på 3043</t>
        </is>
      </c>
      <c r="C8" s="31" t="n">
        <v>57400</v>
      </c>
      <c r="D8" s="12" t="inlineStr">
        <is>
          <t>kg</t>
        </is>
      </c>
      <c r="E8" s="24" t="inlineStr">
        <is>
          <t>Input. Hentast frå: Mengde 2 på 3043.</t>
        </is>
      </c>
      <c r="F8" s="32" t="n"/>
    </row>
    <row r="9">
      <c r="A9" s="20" t="inlineStr">
        <is>
          <t>Tal slakta gris</t>
        </is>
      </c>
      <c r="B9" s="24" t="inlineStr">
        <is>
          <t>Mengde 1 på 3043</t>
        </is>
      </c>
      <c r="C9" s="31" t="n">
        <v>690</v>
      </c>
      <c r="D9" s="12" t="inlineStr">
        <is>
          <t>stk</t>
        </is>
      </c>
      <c r="E9" s="24" t="inlineStr">
        <is>
          <t>Input. Hentast frå: Mengde 1 på 3043.</t>
        </is>
      </c>
      <c r="F9" s="32" t="n"/>
    </row>
    <row r="10">
      <c r="A10" s="20" t="inlineStr">
        <is>
          <t>Tal gris pr 1.1.</t>
        </is>
      </c>
      <c r="B10" s="24" t="inlineStr">
        <is>
          <t>1453.20 (IB)</t>
        </is>
      </c>
      <c r="C10" s="31" t="n">
        <v>180</v>
      </c>
      <c r="D10" s="12" t="inlineStr">
        <is>
          <t>stk</t>
        </is>
      </c>
      <c r="E10" s="24" t="inlineStr">
        <is>
          <t>Input. Hentast frå: 1453.20 (IB).</t>
        </is>
      </c>
      <c r="F10" s="32" t="n"/>
    </row>
    <row r="11">
      <c r="A11" s="20" t="inlineStr">
        <is>
          <t>Tal gris pr 31.12.</t>
        </is>
      </c>
      <c r="B11" s="24" t="inlineStr">
        <is>
          <t>1453.20 (UB)</t>
        </is>
      </c>
      <c r="C11" s="31" t="n">
        <v>190</v>
      </c>
      <c r="D11" s="12" t="inlineStr">
        <is>
          <t>stk</t>
        </is>
      </c>
      <c r="E11" s="24" t="inlineStr">
        <is>
          <t>Input. Hentast frå: 1453.20 (UB).</t>
        </is>
      </c>
      <c r="F11" s="32" t="n"/>
    </row>
    <row r="12">
      <c r="A12" s="20" t="inlineStr">
        <is>
          <t>Tal gris selt til liv</t>
        </is>
      </c>
      <c r="B12" s="24" t="inlineStr">
        <is>
          <t>Mengde 1 på 3053</t>
        </is>
      </c>
      <c r="C12" s="31" t="n">
        <v>0</v>
      </c>
      <c r="D12" s="12" t="inlineStr">
        <is>
          <t>stk</t>
        </is>
      </c>
      <c r="E12" s="24" t="inlineStr">
        <is>
          <t>Input. Hentast frå: Mengde 1 på 3053.</t>
        </is>
      </c>
      <c r="F12" s="32" t="n"/>
    </row>
    <row r="13">
      <c r="A13" s="20" t="inlineStr">
        <is>
          <t>Tal kjøpte smågris</t>
        </is>
      </c>
      <c r="B13" s="24" t="inlineStr">
        <is>
          <t>Mengde 1 på 4630</t>
        </is>
      </c>
      <c r="C13" s="31" t="n">
        <v>705</v>
      </c>
      <c r="D13" s="12" t="inlineStr">
        <is>
          <t>stk</t>
        </is>
      </c>
      <c r="E13" s="24" t="inlineStr">
        <is>
          <t>Input. Hentast frå: Mengde 1 på 4630.</t>
        </is>
      </c>
      <c r="F13" s="32" t="n"/>
    </row>
    <row r="14">
      <c r="A14" s="20" t="inlineStr">
        <is>
          <t>Husdyrrom</t>
        </is>
      </c>
      <c r="B14" s="24" t="inlineStr">
        <is>
          <t>Mengde 1 på 1050-1054</t>
        </is>
      </c>
      <c r="C14" s="31" t="n">
        <v>600</v>
      </c>
      <c r="D14" s="12" t="inlineStr">
        <is>
          <t>m²</t>
        </is>
      </c>
      <c r="E14" s="24" t="inlineStr">
        <is>
          <t>Input. Hentast frå: Mengde 1 på 1050-1054.</t>
        </is>
      </c>
      <c r="F14" s="32" t="n"/>
    </row>
    <row r="15">
      <c r="A15" s="18" t="inlineStr">
        <is>
          <t>2. INPUT – Rekneskapstal (kr) frå saldobalansen etter korrigeringar</t>
        </is>
      </c>
      <c r="B15" s="19" t="n"/>
      <c r="C15" s="19" t="n"/>
      <c r="D15" s="19" t="n"/>
      <c r="E15" s="19" t="n"/>
      <c r="F15" s="19" t="n"/>
    </row>
    <row r="16">
      <c r="A16" s="20" t="inlineStr">
        <is>
          <t>Produksjonstilskot fordelt på produksjonen</t>
        </is>
      </c>
      <c r="B16" s="24" t="inlineStr">
        <is>
          <t>34xx (ikkje 344x avløysartilskot)</t>
        </is>
      </c>
      <c r="C16" s="31" t="n">
        <v>60000</v>
      </c>
      <c r="D16" s="12" t="inlineStr">
        <is>
          <t>kr</t>
        </is>
      </c>
      <c r="E16" s="24" t="inlineStr">
        <is>
          <t>Input. Hentast frå: 34xx (ikkje 344x avløysartilskot).</t>
        </is>
      </c>
      <c r="F16" s="32" t="n"/>
    </row>
    <row r="17">
      <c r="A17" s="20" t="inlineStr">
        <is>
          <t>Slakt</t>
        </is>
      </c>
      <c r="B17" s="24" t="inlineStr">
        <is>
          <t>3043, 3053, 3162, 3172</t>
        </is>
      </c>
      <c r="C17" s="31" t="n">
        <v>1693300</v>
      </c>
      <c r="D17" s="12" t="inlineStr">
        <is>
          <t>kr</t>
        </is>
      </c>
      <c r="E17" s="24" t="inlineStr">
        <is>
          <t>Input. Hentast frå: 3043, 3053, 3162, 3172.</t>
        </is>
      </c>
      <c r="F17" s="32" t="n"/>
    </row>
    <row r="18">
      <c r="A18" s="20" t="inlineStr">
        <is>
          <t>Buskap, beholdningsendring (+ = auke)</t>
        </is>
      </c>
      <c r="B18" s="24" t="inlineStr">
        <is>
          <t>4693 (forteikn snudd)</t>
        </is>
      </c>
      <c r="C18" s="31" t="n">
        <v>4000</v>
      </c>
      <c r="D18" s="12" t="inlineStr">
        <is>
          <t>kr</t>
        </is>
      </c>
      <c r="E18" s="24" t="inlineStr">
        <is>
          <t>Input. Hentast frå: 4693 (forteikn snudd).</t>
        </is>
      </c>
      <c r="F18" s="32" t="n"/>
    </row>
    <row r="19">
      <c r="A19" s="20" t="inlineStr">
        <is>
          <t>Andre inntekter</t>
        </is>
      </c>
      <c r="B19" s="24" t="inlineStr">
        <is>
          <t>andre 3xxx</t>
        </is>
      </c>
      <c r="C19" s="31" t="n">
        <v>0</v>
      </c>
      <c r="D19" s="12" t="inlineStr">
        <is>
          <t>kr</t>
        </is>
      </c>
      <c r="E19" s="24" t="inlineStr">
        <is>
          <t>Input. Hentast frå: andre 3xxx.</t>
        </is>
      </c>
      <c r="F19" s="32" t="n"/>
    </row>
    <row r="20">
      <c r="A20" s="18" t="inlineStr">
        <is>
          <t>Variable kostnader</t>
        </is>
      </c>
      <c r="B20" s="19" t="n"/>
      <c r="C20" s="19" t="n"/>
      <c r="D20" s="19" t="n"/>
      <c r="E20" s="19" t="n"/>
      <c r="F20" s="19" t="n"/>
    </row>
    <row r="21">
      <c r="A21" s="20" t="inlineStr">
        <is>
          <t>Kraftfôr mm.</t>
        </is>
      </c>
      <c r="B21" s="24" t="inlineStr">
        <is>
          <t>4020-4029, 4040-4049, 4092, 4094</t>
        </is>
      </c>
      <c r="C21" s="31" t="n">
        <v>1000000</v>
      </c>
      <c r="D21" s="12" t="inlineStr">
        <is>
          <t>kr</t>
        </is>
      </c>
      <c r="E21" s="24" t="inlineStr">
        <is>
          <t>Input. Hentast frå: 4020-4029, 4040-4049, 4092, 4094.</t>
        </is>
      </c>
      <c r="F21" s="32" t="n"/>
    </row>
    <row r="22">
      <c r="A22" s="20" t="inlineStr">
        <is>
          <t>Veterinær, medisin, inseminering</t>
        </is>
      </c>
      <c r="B22" s="24" t="inlineStr">
        <is>
          <t>4120, 4192, 4520-4529</t>
        </is>
      </c>
      <c r="C22" s="31" t="n">
        <v>15000</v>
      </c>
      <c r="D22" s="12" t="inlineStr">
        <is>
          <t>kr</t>
        </is>
      </c>
      <c r="E22" s="24" t="inlineStr">
        <is>
          <t>Input. Hentast frå: 4120, 4192, 4520-4529.</t>
        </is>
      </c>
      <c r="F22" s="32" t="n"/>
    </row>
    <row r="23">
      <c r="A23" s="20" t="inlineStr">
        <is>
          <t>Innkjøp dyr</t>
        </is>
      </c>
      <c r="B23" s="24" t="inlineStr">
        <is>
          <t>4600-4689</t>
        </is>
      </c>
      <c r="C23" s="31" t="n">
        <v>810750</v>
      </c>
      <c r="D23" s="12" t="inlineStr">
        <is>
          <t>kr</t>
        </is>
      </c>
      <c r="E23" s="24" t="inlineStr">
        <is>
          <t>Input. Hentast frå: 4600-4689.</t>
        </is>
      </c>
      <c r="F23" s="32" t="n"/>
    </row>
    <row r="24">
      <c r="A24" s="20" t="inlineStr">
        <is>
          <t>Andre variable kostnader</t>
        </is>
      </c>
      <c r="B24" s="24" t="inlineStr">
        <is>
          <t>4130-4139, 4193, 4530-4549, 4560-4569 + andre 4xxx</t>
        </is>
      </c>
      <c r="C24" s="31" t="n">
        <v>60000</v>
      </c>
      <c r="D24" s="12" t="inlineStr">
        <is>
          <t>kr</t>
        </is>
      </c>
      <c r="E24" s="24" t="inlineStr">
        <is>
          <t>Input. Hentast frå: 4130-4139, 4193, 4530-4549, 4560-4569 + andre 4xxx.</t>
        </is>
      </c>
      <c r="F24" s="32" t="n"/>
    </row>
    <row r="25">
      <c r="A25" s="18" t="inlineStr">
        <is>
          <t>3. INPUT – Fordelte faste kostnader (lenka frå arket «Faste kostnader»)</t>
        </is>
      </c>
      <c r="B25" s="19" t="n"/>
      <c r="C25" s="19" t="n"/>
      <c r="D25" s="19" t="n"/>
      <c r="E25" s="19" t="n"/>
      <c r="F25" s="19" t="n"/>
    </row>
    <row r="26">
      <c r="A26" s="20" t="inlineStr">
        <is>
          <t>Maskinkostnader fordelt</t>
        </is>
      </c>
      <c r="B26" s="21" t="inlineStr">
        <is>
          <t>Lenkje frå anna ark</t>
        </is>
      </c>
      <c r="C26" s="13">
        <f>'Faste kostnader'!C52</f>
        <v/>
      </c>
      <c r="D26" s="12" t="inlineStr">
        <is>
          <t>kr</t>
        </is>
      </c>
      <c r="E26" s="23" t="inlineStr">
        <is>
          <t>Maskinkostnader fordelt = Maskinkostnader – Slaktegris [Faste kostnader!C52]</t>
        </is>
      </c>
      <c r="F26" s="24" t="inlineStr">
        <is>
          <t>='Faste kostnader'!C52</t>
        </is>
      </c>
    </row>
    <row r="27">
      <c r="A27" s="20" t="inlineStr">
        <is>
          <t>Innandørsmekanisering fordelt</t>
        </is>
      </c>
      <c r="B27" s="21" t="inlineStr">
        <is>
          <t>Lenkje frå anna ark</t>
        </is>
      </c>
      <c r="C27" s="13">
        <f>'Faste kostnader'!C83</f>
        <v/>
      </c>
      <c r="D27" s="12" t="inlineStr">
        <is>
          <t>kr</t>
        </is>
      </c>
      <c r="E27" s="23" t="inlineStr">
        <is>
          <t>Innandørsmekanisering fordelt = Innandørsmekanisering – Slaktegris [Faste kostnader!C83]</t>
        </is>
      </c>
      <c r="F27" s="24" t="inlineStr">
        <is>
          <t>='Faste kostnader'!C83</t>
        </is>
      </c>
    </row>
    <row r="28">
      <c r="A28" s="18" t="inlineStr">
        <is>
          <t>4. UTREKNING – Totalt for produksjonen</t>
        </is>
      </c>
      <c r="B28" s="19" t="n"/>
      <c r="C28" s="19" t="n"/>
      <c r="D28" s="19" t="n"/>
      <c r="E28" s="19" t="n"/>
      <c r="F28" s="19" t="n"/>
    </row>
    <row r="29">
      <c r="A29" s="20" t="inlineStr">
        <is>
          <t>Produksjonsinntekter i alt</t>
        </is>
      </c>
      <c r="B29" s="21" t="inlineStr">
        <is>
          <t>Utrekna</t>
        </is>
      </c>
      <c r="C29" s="22">
        <f>C17+C18+C19</f>
        <v/>
      </c>
      <c r="D29" s="12" t="inlineStr">
        <is>
          <t>kr</t>
        </is>
      </c>
      <c r="E29" s="23" t="inlineStr">
        <is>
          <t>Produksjonsinntekter i alt = Slakt [C17] + Buskap, beholdningsendring (+ = auke) [C18] + Andre inntekter [C19]</t>
        </is>
      </c>
      <c r="F29" s="24" t="inlineStr">
        <is>
          <t>=C17+C18+C19</t>
        </is>
      </c>
    </row>
    <row r="30">
      <c r="A30" s="20" t="inlineStr">
        <is>
          <t>Variable kostnader i alt</t>
        </is>
      </c>
      <c r="B30" s="21" t="inlineStr">
        <is>
          <t>Utrekna</t>
        </is>
      </c>
      <c r="C30" s="22">
        <f>C21+C22+C23+C24</f>
        <v/>
      </c>
      <c r="D30" s="12" t="inlineStr">
        <is>
          <t>kr</t>
        </is>
      </c>
      <c r="E30" s="23" t="inlineStr">
        <is>
          <t>Variable kostnader i alt = Kraftfôr mm. [C21] + Veterinær, medisin, inseminering [C22] + Innkjøp dyr [C23] + Andre variable kostnader [C24]</t>
        </is>
      </c>
      <c r="F30" s="24" t="inlineStr">
        <is>
          <t>=C21+C22+C23+C24</t>
        </is>
      </c>
    </row>
    <row r="31">
      <c r="A31" s="25" t="inlineStr">
        <is>
          <t>Dekningsbidrag (DB) utan tilskot</t>
        </is>
      </c>
      <c r="B31" s="26" t="inlineStr">
        <is>
          <t>Utrekna</t>
        </is>
      </c>
      <c r="C31" s="27">
        <f>C29-C30</f>
        <v/>
      </c>
      <c r="D31" s="28" t="inlineStr">
        <is>
          <t>kr</t>
        </is>
      </c>
      <c r="E31" s="29" t="inlineStr">
        <is>
          <t>Dekningsbidrag (DB) utan tilskot = Produksjonsinntekter i alt [C29] − Variable kostnader i alt [C30]</t>
        </is>
      </c>
      <c r="F31" s="30" t="inlineStr">
        <is>
          <t>=C29-C30</t>
        </is>
      </c>
    </row>
    <row r="32">
      <c r="A32" s="25" t="inlineStr">
        <is>
          <t>Dekningsbidrag (DB) med tilskot</t>
        </is>
      </c>
      <c r="B32" s="26" t="inlineStr">
        <is>
          <t>Utrekna</t>
        </is>
      </c>
      <c r="C32" s="27">
        <f>C31+C16</f>
        <v/>
      </c>
      <c r="D32" s="28" t="inlineStr">
        <is>
          <t>kr</t>
        </is>
      </c>
      <c r="E32" s="29" t="inlineStr">
        <is>
          <t>Dekningsbidrag (DB) med tilskot = Dekningsbidrag (DB) utan tilskot [C31] + Produksjonstilskot fordelt på produksjonen [C16]</t>
        </is>
      </c>
      <c r="F32" s="30" t="inlineStr">
        <is>
          <t>=C31+C16</t>
        </is>
      </c>
    </row>
    <row r="33">
      <c r="A33" s="20" t="inlineStr">
        <is>
          <t>DB m/tilskot etter maskin- og innandørskostnad</t>
        </is>
      </c>
      <c r="B33" s="21" t="inlineStr">
        <is>
          <t>Utrekna</t>
        </is>
      </c>
      <c r="C33" s="22">
        <f>C32-C26-C27</f>
        <v/>
      </c>
      <c r="D33" s="12" t="inlineStr">
        <is>
          <t>kr</t>
        </is>
      </c>
      <c r="E33" s="23" t="inlineStr">
        <is>
          <t>DB m/tilskot etter maskin- og innandørskostnad = Dekningsbidrag (DB) med tilskot [C32] − Maskinkostnader fordelt [C26] − Innandørsmekanisering fordelt [C27]</t>
        </is>
      </c>
      <c r="F33" s="24" t="inlineStr">
        <is>
          <t>=C32-C26-C27</t>
        </is>
      </c>
    </row>
    <row r="34">
      <c r="A34" s="18" t="inlineStr">
        <is>
          <t>5. OUTPUT – Per eining (pr slaktegris)</t>
        </is>
      </c>
      <c r="B34" s="19" t="n"/>
      <c r="C34" s="19" t="n"/>
      <c r="D34" s="19" t="n"/>
      <c r="E34" s="19" t="n"/>
      <c r="F34" s="19" t="n"/>
    </row>
    <row r="35">
      <c r="A35" s="18" t="inlineStr">
        <is>
          <t>Produksjonsinntekter pr slaktegris</t>
        </is>
      </c>
      <c r="B35" s="19" t="n"/>
      <c r="C35" s="19" t="n"/>
      <c r="D35" s="19" t="n"/>
      <c r="E35" s="19" t="n"/>
      <c r="F35" s="19" t="n"/>
    </row>
    <row r="36">
      <c r="A36" s="20" t="inlineStr">
        <is>
          <t>Slakt</t>
        </is>
      </c>
      <c r="B36" s="21" t="inlineStr">
        <is>
          <t>Utrekna</t>
        </is>
      </c>
      <c r="C36" s="38">
        <f>IF((C7)=0,0,(C17)/(C7))</f>
        <v/>
      </c>
      <c r="D36" s="12" t="inlineStr">
        <is>
          <t>kr</t>
        </is>
      </c>
      <c r="E36" s="23" t="inlineStr">
        <is>
          <t>Slakt = Slakt [C17] ÷ Tal produserte slaktegris [C7]</t>
        </is>
      </c>
      <c r="F36" s="24" t="inlineStr">
        <is>
          <t>=IF((C7)=0,0,(C17)/(C7))</t>
        </is>
      </c>
    </row>
    <row r="37">
      <c r="A37" s="20" t="inlineStr">
        <is>
          <t>Buskap, beholdningsendring (+ = auke)</t>
        </is>
      </c>
      <c r="B37" s="21" t="inlineStr">
        <is>
          <t>Utrekna</t>
        </is>
      </c>
      <c r="C37" s="38">
        <f>IF((C7)=0,0,(C18)/(C7))</f>
        <v/>
      </c>
      <c r="D37" s="12" t="inlineStr">
        <is>
          <t>kr</t>
        </is>
      </c>
      <c r="E37" s="23" t="inlineStr">
        <is>
          <t>Buskap, beholdningsendring (+ = auke) = Buskap, beholdningsendring (+ = auke) [C18] ÷ Tal produserte slaktegris [C7]</t>
        </is>
      </c>
      <c r="F37" s="24" t="inlineStr">
        <is>
          <t>=IF((C7)=0,0,(C18)/(C7))</t>
        </is>
      </c>
    </row>
    <row r="38">
      <c r="A38" s="20" t="inlineStr">
        <is>
          <t>Andre inntekter</t>
        </is>
      </c>
      <c r="B38" s="21" t="inlineStr">
        <is>
          <t>Utrekna</t>
        </is>
      </c>
      <c r="C38" s="38">
        <f>IF((C7)=0,0,(C19)/(C7))</f>
        <v/>
      </c>
      <c r="D38" s="12" t="inlineStr">
        <is>
          <t>kr</t>
        </is>
      </c>
      <c r="E38" s="23" t="inlineStr">
        <is>
          <t>Andre inntekter = Andre inntekter [C19] ÷ Tal produserte slaktegris [C7]</t>
        </is>
      </c>
      <c r="F38" s="24" t="inlineStr">
        <is>
          <t>=IF((C7)=0,0,(C19)/(C7))</t>
        </is>
      </c>
    </row>
    <row r="39">
      <c r="A39" s="20" t="inlineStr">
        <is>
          <t>Produksjonsinntekter i alt</t>
        </is>
      </c>
      <c r="B39" s="21" t="inlineStr">
        <is>
          <t>Utrekna</t>
        </is>
      </c>
      <c r="C39" s="38">
        <f>IF((C7)=0,0,(C29)/(C7))</f>
        <v/>
      </c>
      <c r="D39" s="12" t="inlineStr">
        <is>
          <t>kr</t>
        </is>
      </c>
      <c r="E39" s="23" t="inlineStr">
        <is>
          <t>Produksjonsinntekter i alt = Produksjonsinntekter i alt [C29] ÷ Tal produserte slaktegris [C7]</t>
        </is>
      </c>
      <c r="F39" s="24" t="inlineStr">
        <is>
          <t>=IF((C7)=0,0,(C29)/(C7))</t>
        </is>
      </c>
    </row>
    <row r="40">
      <c r="A40" s="18" t="inlineStr">
        <is>
          <t>Variable kostnader pr slaktegris</t>
        </is>
      </c>
      <c r="B40" s="19" t="n"/>
      <c r="C40" s="19" t="n"/>
      <c r="D40" s="19" t="n"/>
      <c r="E40" s="19" t="n"/>
      <c r="F40" s="19" t="n"/>
    </row>
    <row r="41">
      <c r="A41" s="20" t="inlineStr">
        <is>
          <t>Kraftfôr mm.</t>
        </is>
      </c>
      <c r="B41" s="21" t="inlineStr">
        <is>
          <t>Utrekna</t>
        </is>
      </c>
      <c r="C41" s="38">
        <f>IF((C7)=0,0,(C21)/(C7))</f>
        <v/>
      </c>
      <c r="D41" s="12" t="inlineStr">
        <is>
          <t>kr</t>
        </is>
      </c>
      <c r="E41" s="23" t="inlineStr">
        <is>
          <t>Kraftfôr mm. = Kraftfôr mm. [C21] ÷ Tal produserte slaktegris [C7]</t>
        </is>
      </c>
      <c r="F41" s="24" t="inlineStr">
        <is>
          <t>=IF((C7)=0,0,(C21)/(C7))</t>
        </is>
      </c>
    </row>
    <row r="42">
      <c r="A42" s="20" t="inlineStr">
        <is>
          <t>Veterinær, medisin, inseminering</t>
        </is>
      </c>
      <c r="B42" s="21" t="inlineStr">
        <is>
          <t>Utrekna</t>
        </is>
      </c>
      <c r="C42" s="38">
        <f>IF((C7)=0,0,(C22)/(C7))</f>
        <v/>
      </c>
      <c r="D42" s="12" t="inlineStr">
        <is>
          <t>kr</t>
        </is>
      </c>
      <c r="E42" s="23" t="inlineStr">
        <is>
          <t>Veterinær, medisin, inseminering = Veterinær, medisin, inseminering [C22] ÷ Tal produserte slaktegris [C7]</t>
        </is>
      </c>
      <c r="F42" s="24" t="inlineStr">
        <is>
          <t>=IF((C7)=0,0,(C22)/(C7))</t>
        </is>
      </c>
    </row>
    <row r="43">
      <c r="A43" s="20" t="inlineStr">
        <is>
          <t>Innkjøp dyr</t>
        </is>
      </c>
      <c r="B43" s="21" t="inlineStr">
        <is>
          <t>Utrekna</t>
        </is>
      </c>
      <c r="C43" s="38">
        <f>IF((C7)=0,0,(C23)/(C7))</f>
        <v/>
      </c>
      <c r="D43" s="12" t="inlineStr">
        <is>
          <t>kr</t>
        </is>
      </c>
      <c r="E43" s="23" t="inlineStr">
        <is>
          <t>Innkjøp dyr = Innkjøp dyr [C23] ÷ Tal produserte slaktegris [C7]</t>
        </is>
      </c>
      <c r="F43" s="24" t="inlineStr">
        <is>
          <t>=IF((C7)=0,0,(C23)/(C7))</t>
        </is>
      </c>
    </row>
    <row r="44">
      <c r="A44" s="20" t="inlineStr">
        <is>
          <t>Andre variable kostnader</t>
        </is>
      </c>
      <c r="B44" s="21" t="inlineStr">
        <is>
          <t>Utrekna</t>
        </is>
      </c>
      <c r="C44" s="38">
        <f>IF((C7)=0,0,(C24)/(C7))</f>
        <v/>
      </c>
      <c r="D44" s="12" t="inlineStr">
        <is>
          <t>kr</t>
        </is>
      </c>
      <c r="E44" s="23" t="inlineStr">
        <is>
          <t>Andre variable kostnader = Andre variable kostnader [C24] ÷ Tal produserte slaktegris [C7]</t>
        </is>
      </c>
      <c r="F44" s="24" t="inlineStr">
        <is>
          <t>=IF((C7)=0,0,(C24)/(C7))</t>
        </is>
      </c>
    </row>
    <row r="45">
      <c r="A45" s="20" t="inlineStr">
        <is>
          <t>Sum variable kostnader</t>
        </is>
      </c>
      <c r="B45" s="21" t="inlineStr">
        <is>
          <t>Utrekna</t>
        </is>
      </c>
      <c r="C45" s="38">
        <f>IF((C7)=0,0,(C30)/(C7))</f>
        <v/>
      </c>
      <c r="D45" s="12" t="inlineStr">
        <is>
          <t>kr</t>
        </is>
      </c>
      <c r="E45" s="23" t="inlineStr">
        <is>
          <t>Sum variable kostnader = Variable kostnader i alt [C30] ÷ Tal produserte slaktegris [C7]</t>
        </is>
      </c>
      <c r="F45" s="24" t="inlineStr">
        <is>
          <t>=IF((C7)=0,0,(C30)/(C7))</t>
        </is>
      </c>
    </row>
    <row r="46">
      <c r="A46" s="18" t="inlineStr">
        <is>
          <t>Resultat pr slaktegris</t>
        </is>
      </c>
      <c r="B46" s="19" t="n"/>
      <c r="C46" s="19" t="n"/>
      <c r="D46" s="19" t="n"/>
      <c r="E46" s="19" t="n"/>
      <c r="F46" s="19" t="n"/>
    </row>
    <row r="47">
      <c r="A47" s="20" t="inlineStr">
        <is>
          <t>DB utan tilskot</t>
        </is>
      </c>
      <c r="B47" s="21" t="inlineStr">
        <is>
          <t>Utrekna</t>
        </is>
      </c>
      <c r="C47" s="38">
        <f>IF((C7)=0,0,(C31)/(C7))</f>
        <v/>
      </c>
      <c r="D47" s="12" t="inlineStr">
        <is>
          <t>kr</t>
        </is>
      </c>
      <c r="E47" s="23" t="inlineStr">
        <is>
          <t>DB utan tilskot = Dekningsbidrag (DB) utan tilskot [C31] ÷ Tal produserte slaktegris [C7]</t>
        </is>
      </c>
      <c r="F47" s="24" t="inlineStr">
        <is>
          <t>=IF((C7)=0,0,(C31)/(C7))</t>
        </is>
      </c>
    </row>
    <row r="48">
      <c r="A48" s="20" t="inlineStr">
        <is>
          <t>Tilskot</t>
        </is>
      </c>
      <c r="B48" s="21" t="inlineStr">
        <is>
          <t>Utrekna</t>
        </is>
      </c>
      <c r="C48" s="38">
        <f>IF((C7)=0,0,(C16)/(C7))</f>
        <v/>
      </c>
      <c r="D48" s="12" t="inlineStr">
        <is>
          <t>kr</t>
        </is>
      </c>
      <c r="E48" s="23" t="inlineStr">
        <is>
          <t>Tilskot = Produksjonstilskot fordelt på produksjonen [C16] ÷ Tal produserte slaktegris [C7]</t>
        </is>
      </c>
      <c r="F48" s="24" t="inlineStr">
        <is>
          <t>=IF((C7)=0,0,(C16)/(C7))</t>
        </is>
      </c>
    </row>
    <row r="49">
      <c r="A49" s="20" t="inlineStr">
        <is>
          <t>DB med tilskot</t>
        </is>
      </c>
      <c r="B49" s="21" t="inlineStr">
        <is>
          <t>Utrekna</t>
        </is>
      </c>
      <c r="C49" s="38">
        <f>IF((C7)=0,0,(C32)/(C7))</f>
        <v/>
      </c>
      <c r="D49" s="12" t="inlineStr">
        <is>
          <t>kr</t>
        </is>
      </c>
      <c r="E49" s="23" t="inlineStr">
        <is>
          <t>DB med tilskot = Dekningsbidrag (DB) med tilskot [C32] ÷ Tal produserte slaktegris [C7]</t>
        </is>
      </c>
      <c r="F49" s="24" t="inlineStr">
        <is>
          <t>=IF((C7)=0,0,(C32)/(C7))</t>
        </is>
      </c>
    </row>
    <row r="50">
      <c r="A50" s="20" t="inlineStr">
        <is>
          <t>Maskinkostnader</t>
        </is>
      </c>
      <c r="B50" s="21" t="inlineStr">
        <is>
          <t>Utrekna</t>
        </is>
      </c>
      <c r="C50" s="38">
        <f>IF((C7)=0,0,(C26)/(C7))</f>
        <v/>
      </c>
      <c r="D50" s="12" t="inlineStr">
        <is>
          <t>kr</t>
        </is>
      </c>
      <c r="E50" s="23" t="inlineStr">
        <is>
          <t>Maskinkostnader = Maskinkostnader fordelt [C26] ÷ Tal produserte slaktegris [C7]</t>
        </is>
      </c>
      <c r="F50" s="24" t="inlineStr">
        <is>
          <t>=IF((C7)=0,0,(C26)/(C7))</t>
        </is>
      </c>
    </row>
    <row r="51">
      <c r="A51" s="20" t="inlineStr">
        <is>
          <t>Innandørsmekanisering</t>
        </is>
      </c>
      <c r="B51" s="21" t="inlineStr">
        <is>
          <t>Utrekna</t>
        </is>
      </c>
      <c r="C51" s="38">
        <f>IF((C7)=0,0,(C27)/(C7))</f>
        <v/>
      </c>
      <c r="D51" s="12" t="inlineStr">
        <is>
          <t>kr</t>
        </is>
      </c>
      <c r="E51" s="23" t="inlineStr">
        <is>
          <t>Innandørsmekanisering = Innandørsmekanisering fordelt [C27] ÷ Tal produserte slaktegris [C7]</t>
        </is>
      </c>
      <c r="F51" s="24" t="inlineStr">
        <is>
          <t>=IF((C7)=0,0,(C27)/(C7))</t>
        </is>
      </c>
    </row>
    <row r="52">
      <c r="A52" s="20" t="inlineStr">
        <is>
          <t>DB m/tilskot etter maskin og innandørsmek.</t>
        </is>
      </c>
      <c r="B52" s="21" t="inlineStr">
        <is>
          <t>Utrekna</t>
        </is>
      </c>
      <c r="C52" s="38">
        <f>IF((C7)=0,0,(C33)/(C7))</f>
        <v/>
      </c>
      <c r="D52" s="12" t="inlineStr">
        <is>
          <t>kr</t>
        </is>
      </c>
      <c r="E52" s="23" t="inlineStr">
        <is>
          <t>DB m/tilskot etter maskin og innandørsmek. = DB m/tilskot etter maskin- og innandørskostnad [C33] ÷ Tal produserte slaktegris [C7]</t>
        </is>
      </c>
      <c r="F52" s="24" t="inlineStr">
        <is>
          <t>=IF((C7)=0,0,(C33)/(C7))</t>
        </is>
      </c>
    </row>
    <row r="53">
      <c r="A53" s="18" t="inlineStr">
        <is>
          <t>6. OUTPUT – Nøkkeltal</t>
        </is>
      </c>
      <c r="B53" s="19" t="n"/>
      <c r="C53" s="19" t="n"/>
      <c r="D53" s="19" t="n"/>
      <c r="E53" s="19" t="n"/>
      <c r="F53" s="19" t="n"/>
    </row>
    <row r="54">
      <c r="A54" s="25" t="inlineStr">
        <is>
          <t>DB pr slaktegris u/tilskot</t>
        </is>
      </c>
      <c r="B54" s="26" t="inlineStr">
        <is>
          <t>Utrekna</t>
        </is>
      </c>
      <c r="C54" s="39">
        <f>IF((C7)=0,0,(C31)/(C7))</f>
        <v/>
      </c>
      <c r="D54" s="28" t="inlineStr">
        <is>
          <t>kr</t>
        </is>
      </c>
      <c r="E54" s="29" t="inlineStr">
        <is>
          <t>DB pr slaktegris u/tilskot = Dekningsbidrag (DB) utan tilskot [C31] ÷ Tal produserte slaktegris [C7]</t>
        </is>
      </c>
      <c r="F54" s="30" t="inlineStr">
        <is>
          <t>=IF((C7)=0,0,(C31)/(C7))</t>
        </is>
      </c>
    </row>
    <row r="55">
      <c r="A55" s="25" t="inlineStr">
        <is>
          <t>DB pr slaktegris m/tilskot</t>
        </is>
      </c>
      <c r="B55" s="26" t="inlineStr">
        <is>
          <t>Utrekna</t>
        </is>
      </c>
      <c r="C55" s="39">
        <f>IF((C7)=0,0,(C32)/(C7))</f>
        <v/>
      </c>
      <c r="D55" s="28" t="inlineStr">
        <is>
          <t>kr</t>
        </is>
      </c>
      <c r="E55" s="29" t="inlineStr">
        <is>
          <t>DB pr slaktegris m/tilskot = Dekningsbidrag (DB) med tilskot [C32] ÷ Tal produserte slaktegris [C7]</t>
        </is>
      </c>
      <c r="F55" s="30" t="inlineStr">
        <is>
          <t>=IF((C7)=0,0,(C32)/(C7))</t>
        </is>
      </c>
    </row>
    <row r="56">
      <c r="A56" s="25" t="inlineStr">
        <is>
          <t>DB pr m² husdyrrom</t>
        </is>
      </c>
      <c r="B56" s="26" t="inlineStr">
        <is>
          <t>Utrekna</t>
        </is>
      </c>
      <c r="C56" s="39">
        <f>IF((C14)=0,0,(C31)/(C14))</f>
        <v/>
      </c>
      <c r="D56" s="28" t="inlineStr">
        <is>
          <t>kr</t>
        </is>
      </c>
      <c r="E56" s="29" t="inlineStr">
        <is>
          <t>DB pr m² husdyrrom = Dekningsbidrag (DB) utan tilskot [C31] ÷ Husdyrrom [C14]</t>
        </is>
      </c>
      <c r="F56" s="30" t="inlineStr">
        <is>
          <t>=IF((C14)=0,0,(C31)/(C14))</t>
        </is>
      </c>
    </row>
    <row r="57">
      <c r="A57" s="25" t="inlineStr">
        <is>
          <t>Oppnådd kjøtpris pr kg slakt</t>
        </is>
      </c>
      <c r="B57" s="26" t="inlineStr">
        <is>
          <t>Utrekna</t>
        </is>
      </c>
      <c r="C57" s="39">
        <f>IF((C8)=0,0,(C17)/(C8))</f>
        <v/>
      </c>
      <c r="D57" s="28" t="inlineStr">
        <is>
          <t>kr</t>
        </is>
      </c>
      <c r="E57" s="29" t="inlineStr">
        <is>
          <t>Oppnådd kjøtpris pr kg slakt = Slakt [C17] ÷ Kg slakt [C8]</t>
        </is>
      </c>
      <c r="F57" s="30" t="inlineStr">
        <is>
          <t>=IF((C8)=0,0,(C17)/(C8))</t>
        </is>
      </c>
    </row>
    <row r="58">
      <c r="A58" s="25" t="inlineStr">
        <is>
          <t>Snitt slaktepris pr gris</t>
        </is>
      </c>
      <c r="B58" s="26" t="inlineStr">
        <is>
          <t>Utrekna</t>
        </is>
      </c>
      <c r="C58" s="39">
        <f>IF((C9)=0,0,(C17)/(C9))</f>
        <v/>
      </c>
      <c r="D58" s="28" t="inlineStr">
        <is>
          <t>kr</t>
        </is>
      </c>
      <c r="E58" s="29" t="inlineStr">
        <is>
          <t>Snitt slaktepris pr gris = Slakt [C17] ÷ Tal slakta gris [C9]</t>
        </is>
      </c>
      <c r="F58" s="30" t="inlineStr">
        <is>
          <t>=IF((C9)=0,0,(C17)/(C9))</t>
        </is>
      </c>
    </row>
    <row r="59">
      <c r="A59" s="25" t="inlineStr">
        <is>
          <t>Snitt kjøpspris pr smågris</t>
        </is>
      </c>
      <c r="B59" s="26" t="inlineStr">
        <is>
          <t>Utrekna</t>
        </is>
      </c>
      <c r="C59" s="39">
        <f>IF((C13)=0,0,(C23)/(C13))</f>
        <v/>
      </c>
      <c r="D59" s="28" t="inlineStr">
        <is>
          <t>kr</t>
        </is>
      </c>
      <c r="E59" s="29" t="inlineStr">
        <is>
          <t>Snitt kjøpspris pr smågris = Innkjøp dyr [C23] ÷ Tal kjøpte smågris [C13]</t>
        </is>
      </c>
      <c r="F59" s="30" t="inlineStr">
        <is>
          <t>=IF((C13)=0,0,(C23)/(C13))</t>
        </is>
      </c>
    </row>
    <row r="60">
      <c r="A60" s="25" t="inlineStr">
        <is>
          <t>Slaktepris – kjøpspris pr gris</t>
        </is>
      </c>
      <c r="B60" s="26" t="inlineStr">
        <is>
          <t>Utrekna</t>
        </is>
      </c>
      <c r="C60" s="39">
        <f>IF((C9)=0,0,(C17)/(C9))-IF((C13)=0,0,(C23)/(C13))</f>
        <v/>
      </c>
      <c r="D60" s="28" t="inlineStr">
        <is>
          <t>kr</t>
        </is>
      </c>
      <c r="E60" s="29" t="inlineStr">
        <is>
          <t>Slaktepris – kjøpspris pr gris = Slakt [C17] ÷ Tal slakta gris [C9] − Innkjøp dyr [C23] ÷ Tal kjøpte smågris [C13]</t>
        </is>
      </c>
      <c r="F60" s="30" t="inlineStr">
        <is>
          <t>=IF((C9)=0,0,(C17)/(C9))-IF((C13)=0,0,(C23)/(C13))</t>
        </is>
      </c>
    </row>
    <row r="61">
      <c r="A61" s="25" t="inlineStr">
        <is>
          <t>Maskinkostnad pr slaktegris</t>
        </is>
      </c>
      <c r="B61" s="26" t="inlineStr">
        <is>
          <t>Utrekna</t>
        </is>
      </c>
      <c r="C61" s="39">
        <f>IF((C7)=0,0,(C26)/(C7))</f>
        <v/>
      </c>
      <c r="D61" s="28" t="inlineStr">
        <is>
          <t>kr</t>
        </is>
      </c>
      <c r="E61" s="29" t="inlineStr">
        <is>
          <t>Maskinkostnad pr slaktegris = Maskinkostnader fordelt [C26] ÷ Tal produserte slaktegris [C7]</t>
        </is>
      </c>
      <c r="F61" s="30" t="inlineStr">
        <is>
          <t>=IF((C7)=0,0,(C26)/(C7))</t>
        </is>
      </c>
    </row>
    <row r="62">
      <c r="A62" s="25" t="inlineStr">
        <is>
          <t>Innandørsmekanisering pr gris</t>
        </is>
      </c>
      <c r="B62" s="26" t="inlineStr">
        <is>
          <t>Utrekna</t>
        </is>
      </c>
      <c r="C62" s="39">
        <f>IF((C7)=0,0,(C27)/(C7))</f>
        <v/>
      </c>
      <c r="D62" s="28" t="inlineStr">
        <is>
          <t>kr</t>
        </is>
      </c>
      <c r="E62" s="29" t="inlineStr">
        <is>
          <t>Innandørsmekanisering pr gris = Innandørsmekanisering fordelt [C27] ÷ Tal produserte slaktegris [C7]</t>
        </is>
      </c>
      <c r="F62" s="30" t="inlineStr">
        <is>
          <t>=IF((C7)=0,0,(C27)/(C7))</t>
        </is>
      </c>
    </row>
    <row r="63">
      <c r="A63" s="25" t="inlineStr">
        <is>
          <t>Slaktevekt pr gris (kg)</t>
        </is>
      </c>
      <c r="B63" s="26" t="inlineStr">
        <is>
          <t>Utrekna</t>
        </is>
      </c>
      <c r="C63" s="37">
        <f>IF((C9)=0,0,(C8)/(C9))</f>
        <v/>
      </c>
      <c r="D63" s="28" t="inlineStr">
        <is>
          <t>kg</t>
        </is>
      </c>
      <c r="E63" s="29" t="inlineStr">
        <is>
          <t>Slaktevekt pr gris (kg) = Kg slakt [C8] ÷ Tal slakta gris [C9]</t>
        </is>
      </c>
      <c r="F63" s="30" t="inlineStr">
        <is>
          <t>=IF((C9)=0,0,(C8)/(C9))</t>
        </is>
      </c>
    </row>
    <row r="64">
      <c r="A64" s="25" t="inlineStr">
        <is>
          <t>Tapsprosent</t>
        </is>
      </c>
      <c r="B64" s="26" t="inlineStr">
        <is>
          <t>Utrekna</t>
        </is>
      </c>
      <c r="C64" s="33">
        <f>MAX(0,IF((C7)=0,0,((C10+C13)-(C9+C11+C12))/(C7)))</f>
        <v/>
      </c>
      <c r="D64" s="28" t="inlineStr">
        <is>
          <t>%</t>
        </is>
      </c>
      <c r="E64" s="29" t="inlineStr">
        <is>
          <t>Tapsprosent = MAKS(0; ((Tal gris pr 1.1. [C10] + Tal kjøpte smågris [C13]) − (Tal slakta gris [C9] + Tal gris pr 31.12. [C11] + Tal gris selt til liv [C12])) ÷ Tal produserte slaktegris [C7])</t>
        </is>
      </c>
      <c r="F64" s="30" t="inlineStr">
        <is>
          <t>=MAX(0,IF((C7)=0,0,((C10+C13)-(C9+C11+C12))/(C7)))</t>
        </is>
      </c>
    </row>
  </sheetData>
  <pageMargins left="0.75" right="0.75" top="1" bottom="1" header="0.5" footer="0.5"/>
  <pageSetup orientation="landscape" fitToHeight="0" fitToWidth="1"/>
</worksheet>
</file>

<file path=xl/worksheets/sheet22.xml><?xml version="1.0" encoding="utf-8"?>
<worksheet xmlns="http://schemas.openxmlformats.org/spreadsheetml/2006/main">
  <sheetPr>
    <outlinePr summaryBelow="1" summaryRight="1"/>
    <pageSetUpPr fitToPage="1"/>
  </sheetPr>
  <dimension ref="A1:F110"/>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0" customWidth="1" min="1" max="1"/>
    <col width="34" customWidth="1" min="2" max="2"/>
    <col width="16" customWidth="1" min="3" max="3"/>
    <col width="10" customWidth="1" min="4" max="4"/>
    <col width="78" customWidth="1" min="5" max="5"/>
    <col width="46" customWidth="1" min="6" max="6"/>
  </cols>
  <sheetData>
    <row r="1" ht="22" customHeight="1">
      <c r="A1" s="1" t="inlineStr">
        <is>
          <t>Sauehald  –  driftsgrein 6300-6390</t>
        </is>
      </c>
    </row>
    <row r="2">
      <c r="A2" s="7" t="inlineStr">
        <is>
          <t>Sauehald (driftsgrein 6300–6390). Eksempeltal frå vedlagt analyse 2025.</t>
        </is>
      </c>
    </row>
    <row r="3">
      <c r="A3" s="8" t="inlineStr">
        <is>
          <t>Fargekodar:  blå tal på gul botn = input (skal fyllast inn)   ·   svart = formel   ·   grøn = lenkje frå anna ark.   Alle kronebeløp er positive (inntekt og kostnad).</t>
        </is>
      </c>
    </row>
    <row r="5">
      <c r="A5" s="17" t="inlineStr">
        <is>
          <t>Post</t>
        </is>
      </c>
      <c r="B5" s="17" t="inlineStr">
        <is>
          <t>Kjelde / Tripletex-konto</t>
        </is>
      </c>
      <c r="C5" s="17" t="inlineStr">
        <is>
          <t>Verdi</t>
        </is>
      </c>
      <c r="D5" s="17" t="inlineStr">
        <is>
          <t>Eining</t>
        </is>
      </c>
      <c r="E5" s="17" t="inlineStr">
        <is>
          <t>Formel forklart (korleis outputen blir rekna)</t>
        </is>
      </c>
      <c r="F5" s="17" t="inlineStr">
        <is>
          <t>Excel-formel</t>
        </is>
      </c>
    </row>
    <row r="6">
      <c r="A6" s="18" t="inlineStr">
        <is>
          <t>1. INPUT – Produksjonsdata (frå produksjonstabell / teljingar)</t>
        </is>
      </c>
      <c r="B6" s="19" t="n"/>
      <c r="C6" s="19" t="n"/>
      <c r="D6" s="19" t="n"/>
      <c r="E6" s="19" t="n"/>
      <c r="F6" s="19" t="n"/>
    </row>
    <row r="7">
      <c r="A7" s="20" t="inlineStr">
        <is>
          <t>Tal vinterfôra sau</t>
        </is>
      </c>
      <c r="B7" s="24" t="inlineStr">
        <is>
          <t>Søknad om produksjonstilskot / produksjonstabell</t>
        </is>
      </c>
      <c r="C7" s="31" t="n">
        <v>45</v>
      </c>
      <c r="D7" s="12" t="inlineStr">
        <is>
          <t>stk</t>
        </is>
      </c>
      <c r="E7" s="24" t="inlineStr">
        <is>
          <t>Input. Hentast frå: Søknad om produksjonstilskot / produksjonstabell.</t>
        </is>
      </c>
      <c r="F7" s="32" t="n"/>
    </row>
    <row r="8">
      <c r="A8" s="20" t="inlineStr">
        <is>
          <t>Kg slakt (sau og lam)</t>
        </is>
      </c>
      <c r="B8" s="24" t="inlineStr">
        <is>
          <t>Mengde 2 på 3044 (.541–.543)</t>
        </is>
      </c>
      <c r="C8" s="31" t="n">
        <v>1586.9</v>
      </c>
      <c r="D8" s="12" t="inlineStr">
        <is>
          <t>kg</t>
        </is>
      </c>
      <c r="E8" s="24" t="inlineStr">
        <is>
          <t>Input. Hentast frå: Mengde 2 på 3044 (.541–.543).</t>
        </is>
      </c>
      <c r="F8" s="32" t="n"/>
    </row>
    <row r="9">
      <c r="A9" s="20" t="inlineStr">
        <is>
          <t>Kg slakt pr vf. sau frå produksjonstabellen (0 = rekna ut)</t>
        </is>
      </c>
      <c r="B9" s="24" t="inlineStr">
        <is>
          <t>Produksjonstabell (AvkastningPrEnhet)</t>
        </is>
      </c>
      <c r="C9" s="42" t="n">
        <v>38.3244</v>
      </c>
      <c r="D9" s="12" t="inlineStr">
        <is>
          <t>kg</t>
        </is>
      </c>
      <c r="E9" s="24" t="inlineStr">
        <is>
          <t>Input. Hentast frå: Produksjonstabell (AvkastningPrEnhet).</t>
        </is>
      </c>
      <c r="F9" s="32" t="n"/>
    </row>
    <row r="10">
      <c r="A10" s="20" t="inlineStr">
        <is>
          <t>Tal kjøpte lam (mai–des)</t>
        </is>
      </c>
      <c r="B10" s="24" t="inlineStr">
        <is>
          <t>Mengde 1 på 4640 (.543)</t>
        </is>
      </c>
      <c r="C10" s="31" t="n">
        <v>0</v>
      </c>
      <c r="D10" s="12" t="inlineStr">
        <is>
          <t>stk</t>
        </is>
      </c>
      <c r="E10" s="24" t="inlineStr">
        <is>
          <t>Input. Hentast frå: Mengde 1 på 4640 (.543).</t>
        </is>
      </c>
      <c r="F10" s="32" t="n"/>
    </row>
    <row r="11">
      <c r="A11" s="20" t="inlineStr">
        <is>
          <t>Tal slakta/selde årslam (mai–des)</t>
        </is>
      </c>
      <c r="B11" s="24" t="inlineStr">
        <is>
          <t>Mengde 1 på 3044/3054 (.543)</t>
        </is>
      </c>
      <c r="C11" s="31" t="n">
        <v>62</v>
      </c>
      <c r="D11" s="12" t="inlineStr">
        <is>
          <t>stk</t>
        </is>
      </c>
      <c r="E11" s="24" t="inlineStr">
        <is>
          <t>Input. Hentast frå: Mengde 1 på 3044/3054 (.543).</t>
        </is>
      </c>
      <c r="F11" s="32" t="n"/>
    </row>
    <row r="12">
      <c r="A12" s="20" t="inlineStr">
        <is>
          <t>Tal slakta/selde sau og lam (juli–des)</t>
        </is>
      </c>
      <c r="B12" s="24" t="inlineStr">
        <is>
          <t>Mengde 1 på 3044/3054</t>
        </is>
      </c>
      <c r="C12" s="31" t="n">
        <v>70</v>
      </c>
      <c r="D12" s="12" t="inlineStr">
        <is>
          <t>stk</t>
        </is>
      </c>
      <c r="E12" s="24" t="inlineStr">
        <is>
          <t>Input. Hentast frå: Mengde 1 på 3044/3054.</t>
        </is>
      </c>
      <c r="F12" s="32" t="n"/>
    </row>
    <row r="13">
      <c r="A13" s="20" t="inlineStr">
        <is>
          <t>Sauer frå inngåande balanse pr 1.1. (stk)</t>
        </is>
      </c>
      <c r="B13" s="24" t="inlineStr">
        <is>
          <t>1454.20.541 (IB mengd)</t>
        </is>
      </c>
      <c r="C13" s="31" t="n">
        <v>22</v>
      </c>
      <c r="D13" s="12" t="inlineStr">
        <is>
          <t>stk</t>
        </is>
      </c>
      <c r="E13" s="24" t="inlineStr">
        <is>
          <t>Input. Hentast frå: 1454.20.541 (IB mengd).</t>
        </is>
      </c>
      <c r="F13" s="32" t="n"/>
    </row>
    <row r="14">
      <c r="A14" s="20" t="inlineStr">
        <is>
          <t>Sauer tilført i året pr 1.1. (stk)</t>
        </is>
      </c>
      <c r="B14" s="24" t="inlineStr">
        <is>
          <t>1454.20.542 (IB mengd)</t>
        </is>
      </c>
      <c r="C14" s="31" t="n">
        <v>14</v>
      </c>
      <c r="D14" s="12" t="inlineStr">
        <is>
          <t>stk</t>
        </is>
      </c>
      <c r="E14" s="24" t="inlineStr">
        <is>
          <t>Input. Hentast frå: 1454.20.542 (IB mengd).</t>
        </is>
      </c>
      <c r="F14" s="32" t="n"/>
    </row>
    <row r="15">
      <c r="A15" s="20" t="inlineStr">
        <is>
          <t>Sau/lam under 12 md pr 1.1. (stk)</t>
        </is>
      </c>
      <c r="B15" s="24" t="inlineStr">
        <is>
          <t>1454.20.543 (IB mengd)</t>
        </is>
      </c>
      <c r="C15" s="31" t="n">
        <v>11</v>
      </c>
      <c r="D15" s="12" t="inlineStr">
        <is>
          <t>stk</t>
        </is>
      </c>
      <c r="E15" s="24" t="inlineStr">
        <is>
          <t>Input. Hentast frå: 1454.20.543 (IB mengd).</t>
        </is>
      </c>
      <c r="F15" s="32" t="n"/>
    </row>
    <row r="16">
      <c r="A16" s="20" t="inlineStr">
        <is>
          <t>Sauer frå inngåande balanse pr 31.12. (stk)</t>
        </is>
      </c>
      <c r="B16" s="24" t="inlineStr">
        <is>
          <t>1454.20.541 (UB mengd)</t>
        </is>
      </c>
      <c r="C16" s="31" t="n">
        <v>29</v>
      </c>
      <c r="D16" s="12" t="inlineStr">
        <is>
          <t>stk</t>
        </is>
      </c>
      <c r="E16" s="24" t="inlineStr">
        <is>
          <t>Input. Hentast frå: 1454.20.541 (UB mengd).</t>
        </is>
      </c>
      <c r="F16" s="32" t="n"/>
    </row>
    <row r="17">
      <c r="A17" s="20" t="inlineStr">
        <is>
          <t>Sauer tilført i året pr 31.12. (stk)</t>
        </is>
      </c>
      <c r="B17" s="24" t="inlineStr">
        <is>
          <t>1454.20.542 (UB mengd)</t>
        </is>
      </c>
      <c r="C17" s="31" t="n">
        <v>10</v>
      </c>
      <c r="D17" s="12" t="inlineStr">
        <is>
          <t>stk</t>
        </is>
      </c>
      <c r="E17" s="24" t="inlineStr">
        <is>
          <t>Input. Hentast frå: 1454.20.542 (UB mengd).</t>
        </is>
      </c>
      <c r="F17" s="32" t="n"/>
    </row>
    <row r="18">
      <c r="A18" s="20" t="inlineStr">
        <is>
          <t>Sau/lam under 12 md pr 31.12. (stk)</t>
        </is>
      </c>
      <c r="B18" s="24" t="inlineStr">
        <is>
          <t>1454.20.543 (UB mengd)</t>
        </is>
      </c>
      <c r="C18" s="31" t="n">
        <v>12</v>
      </c>
      <c r="D18" s="12" t="inlineStr">
        <is>
          <t>stk</t>
        </is>
      </c>
      <c r="E18" s="24" t="inlineStr">
        <is>
          <t>Input. Hentast frå: 1454.20.543 (UB mengd).</t>
        </is>
      </c>
      <c r="F18" s="32" t="n"/>
    </row>
    <row r="19">
      <c r="A19" s="20" t="inlineStr">
        <is>
          <t>Verdi sauer IB-gruppe pr 1.1.</t>
        </is>
      </c>
      <c r="B19" s="24" t="inlineStr">
        <is>
          <t>1454.20.541 (IB)</t>
        </is>
      </c>
      <c r="C19" s="31" t="n">
        <v>19360</v>
      </c>
      <c r="D19" s="12" t="inlineStr">
        <is>
          <t>kr</t>
        </is>
      </c>
      <c r="E19" s="24" t="inlineStr">
        <is>
          <t>Input. Hentast frå: 1454.20.541 (IB).</t>
        </is>
      </c>
      <c r="F19" s="32" t="n"/>
    </row>
    <row r="20">
      <c r="A20" s="20" t="inlineStr">
        <is>
          <t>Verdi sauer tilført pr 1.1.</t>
        </is>
      </c>
      <c r="B20" s="24" t="inlineStr">
        <is>
          <t>1454.20.542 (IB)</t>
        </is>
      </c>
      <c r="C20" s="31" t="n">
        <v>14070</v>
      </c>
      <c r="D20" s="12" t="inlineStr">
        <is>
          <t>kr</t>
        </is>
      </c>
      <c r="E20" s="24" t="inlineStr">
        <is>
          <t>Input. Hentast frå: 1454.20.542 (IB).</t>
        </is>
      </c>
      <c r="F20" s="32" t="n"/>
    </row>
    <row r="21">
      <c r="A21" s="20" t="inlineStr">
        <is>
          <t>Verdi sau/lam u. 12 md pr 1.1.</t>
        </is>
      </c>
      <c r="B21" s="24" t="inlineStr">
        <is>
          <t>1454.20.543 (IB)</t>
        </is>
      </c>
      <c r="C21" s="31" t="n">
        <v>15400</v>
      </c>
      <c r="D21" s="12" t="inlineStr">
        <is>
          <t>kr</t>
        </is>
      </c>
      <c r="E21" s="24" t="inlineStr">
        <is>
          <t>Input. Hentast frå: 1454.20.543 (IB).</t>
        </is>
      </c>
      <c r="F21" s="32" t="n"/>
    </row>
    <row r="22">
      <c r="A22" s="20" t="inlineStr">
        <is>
          <t>Verdi sauer IB-gruppe pr 31.12.</t>
        </is>
      </c>
      <c r="B22" s="24" t="inlineStr">
        <is>
          <t>1454.20.541 (UB)</t>
        </is>
      </c>
      <c r="C22" s="31" t="n">
        <v>23200</v>
      </c>
      <c r="D22" s="12" t="inlineStr">
        <is>
          <t>kr</t>
        </is>
      </c>
      <c r="E22" s="24" t="inlineStr">
        <is>
          <t>Input. Hentast frå: 1454.20.541 (UB).</t>
        </is>
      </c>
      <c r="F22" s="32" t="n"/>
    </row>
    <row r="23">
      <c r="A23" s="20" t="inlineStr">
        <is>
          <t>Verdi sauer tilført pr 31.12.</t>
        </is>
      </c>
      <c r="B23" s="24" t="inlineStr">
        <is>
          <t>1454.20.542 (UB)</t>
        </is>
      </c>
      <c r="C23" s="31" t="n">
        <v>10650</v>
      </c>
      <c r="D23" s="12" t="inlineStr">
        <is>
          <t>kr</t>
        </is>
      </c>
      <c r="E23" s="24" t="inlineStr">
        <is>
          <t>Input. Hentast frå: 1454.20.542 (UB).</t>
        </is>
      </c>
      <c r="F23" s="32" t="n"/>
    </row>
    <row r="24">
      <c r="A24" s="20" t="inlineStr">
        <is>
          <t>Verdi sau/lam u. 12 md pr 31.12.</t>
        </is>
      </c>
      <c r="B24" s="24" t="inlineStr">
        <is>
          <t>1454.20.543 (UB)</t>
        </is>
      </c>
      <c r="C24" s="31" t="n">
        <v>18780</v>
      </c>
      <c r="D24" s="12" t="inlineStr">
        <is>
          <t>kr</t>
        </is>
      </c>
      <c r="E24" s="24" t="inlineStr">
        <is>
          <t>Input. Hentast frå: 1454.20.543 (UB).</t>
        </is>
      </c>
      <c r="F24" s="32" t="n"/>
    </row>
    <row r="25">
      <c r="A25" s="20" t="inlineStr">
        <is>
          <t>Fôrnorm beite (FEm)</t>
        </is>
      </c>
      <c r="B25" s="24" t="inlineStr">
        <is>
          <t>Fôrnorm pr vf. sau og år (jf. marginalanalysen). Brukt til arealbehov og fordelingsnøklar</t>
        </is>
      </c>
      <c r="C25" s="31" t="n">
        <v>337</v>
      </c>
      <c r="D25" s="12" t="inlineStr">
        <is>
          <t>FEm</t>
        </is>
      </c>
      <c r="E25" s="24" t="inlineStr">
        <is>
          <t>Input. Hentast frå: Fôrnorm pr vf. sau og år (jf. marginalanalysen). Brukt til arealbehov og fordelingsnøklar.</t>
        </is>
      </c>
      <c r="F25" s="32" t="n"/>
    </row>
    <row r="26">
      <c r="A26" s="20" t="inlineStr">
        <is>
          <t>Fôrnorm eige grovfôr vinter (FEm)</t>
        </is>
      </c>
      <c r="B26" s="24" t="inlineStr">
        <is>
          <t>Fôrnorm pr vf. sau og år (jf. marginalanalysen). Brukt til arealbehov og fordelingsnøklar</t>
        </is>
      </c>
      <c r="C26" s="31" t="n">
        <v>195</v>
      </c>
      <c r="D26" s="12" t="inlineStr">
        <is>
          <t>FEm</t>
        </is>
      </c>
      <c r="E26" s="24" t="inlineStr">
        <is>
          <t>Input. Hentast frå: Fôrnorm pr vf. sau og år (jf. marginalanalysen). Brukt til arealbehov og fordelingsnøklar.</t>
        </is>
      </c>
      <c r="F26" s="32" t="n"/>
    </row>
    <row r="27">
      <c r="A27" s="20" t="inlineStr">
        <is>
          <t>Fôrnorm kraftfôr (FEm)</t>
        </is>
      </c>
      <c r="B27" s="24" t="inlineStr">
        <is>
          <t>Fôrnorm pr vf. sau og år (jf. marginalanalysen). Brukt til arealbehov og fordelingsnøklar</t>
        </is>
      </c>
      <c r="C27" s="31" t="n">
        <v>107</v>
      </c>
      <c r="D27" s="12" t="inlineStr">
        <is>
          <t>FEm</t>
        </is>
      </c>
      <c r="E27" s="24" t="inlineStr">
        <is>
          <t>Input. Hentast frå: Fôrnorm pr vf. sau og år (jf. marginalanalysen). Brukt til arealbehov og fordelingsnøklar.</t>
        </is>
      </c>
      <c r="F27" s="32" t="n"/>
    </row>
    <row r="28">
      <c r="A28" s="18" t="inlineStr">
        <is>
          <t>2. INPUT – Rekneskapstal (kr) frå saldobalansen etter korrigeringar</t>
        </is>
      </c>
      <c r="B28" s="19" t="n"/>
      <c r="C28" s="19" t="n"/>
      <c r="D28" s="19" t="n"/>
      <c r="E28" s="19" t="n"/>
      <c r="F28" s="19" t="n"/>
    </row>
    <row r="29">
      <c r="A29" s="20" t="inlineStr">
        <is>
          <t>Produksjonstilskot fordelt på produksjonen</t>
        </is>
      </c>
      <c r="B29" s="24" t="inlineStr">
        <is>
          <t>34xx (ikkje 344x avløysartilskot)</t>
        </is>
      </c>
      <c r="C29" s="31" t="n">
        <v>206447.37</v>
      </c>
      <c r="D29" s="12" t="inlineStr">
        <is>
          <t>kr</t>
        </is>
      </c>
      <c r="E29" s="24" t="inlineStr">
        <is>
          <t>Input. Hentast frå: 34xx (ikkje 344x avløysartilskot).</t>
        </is>
      </c>
      <c r="F29" s="32" t="n"/>
    </row>
    <row r="30">
      <c r="A30" s="20" t="inlineStr">
        <is>
          <t>Ull</t>
        </is>
      </c>
      <c r="B30" s="24" t="inlineStr">
        <is>
          <t>3074, 3163/3173 (.484)</t>
        </is>
      </c>
      <c r="C30" s="31" t="n">
        <v>6386.3</v>
      </c>
      <c r="D30" s="12" t="inlineStr">
        <is>
          <t>kr</t>
        </is>
      </c>
      <c r="E30" s="24" t="inlineStr">
        <is>
          <t>Input. Hentast frå: 3074, 3163/3173 (.484).</t>
        </is>
      </c>
      <c r="F30" s="32" t="n"/>
    </row>
    <row r="31">
      <c r="A31" s="20" t="inlineStr">
        <is>
          <t>Slakt</t>
        </is>
      </c>
      <c r="B31" s="24" t="inlineStr">
        <is>
          <t>3040-3049, 3162, 3172, 3078</t>
        </is>
      </c>
      <c r="C31" s="31" t="n">
        <v>103507.3</v>
      </c>
      <c r="D31" s="12" t="inlineStr">
        <is>
          <t>kr</t>
        </is>
      </c>
      <c r="E31" s="24" t="inlineStr">
        <is>
          <t>Input. Hentast frå: 3040-3049, 3162, 3172, 3078.</t>
        </is>
      </c>
      <c r="F31" s="32" t="n"/>
    </row>
    <row r="32">
      <c r="A32" s="20" t="inlineStr">
        <is>
          <t>Livdyrsal</t>
        </is>
      </c>
      <c r="B32" s="24" t="inlineStr">
        <is>
          <t>3050-3059</t>
        </is>
      </c>
      <c r="C32" s="31" t="n">
        <v>0</v>
      </c>
      <c r="D32" s="12" t="inlineStr">
        <is>
          <t>kr</t>
        </is>
      </c>
      <c r="E32" s="24" t="inlineStr">
        <is>
          <t>Input. Hentast frå: 3050-3059.</t>
        </is>
      </c>
      <c r="F32" s="32" t="n"/>
    </row>
    <row r="33">
      <c r="A33" s="20" t="inlineStr">
        <is>
          <t>Buskap, beholdningsendring (+ = auke)</t>
        </is>
      </c>
      <c r="B33" s="24" t="inlineStr">
        <is>
          <t>4690-4698 (forteikn snudd)</t>
        </is>
      </c>
      <c r="C33" s="31" t="n">
        <v>3800</v>
      </c>
      <c r="D33" s="12" t="inlineStr">
        <is>
          <t>kr</t>
        </is>
      </c>
      <c r="E33" s="24" t="inlineStr">
        <is>
          <t>Input. Hentast frå: 4690-4698 (forteikn snudd).</t>
        </is>
      </c>
      <c r="F33" s="32" t="n"/>
    </row>
    <row r="34">
      <c r="A34" s="20" t="inlineStr">
        <is>
          <t>Andre inntekter</t>
        </is>
      </c>
      <c r="B34" s="24" t="inlineStr">
        <is>
          <t>andre 3xxx kopla til produksjonen</t>
        </is>
      </c>
      <c r="C34" s="31" t="n">
        <v>0</v>
      </c>
      <c r="D34" s="12" t="inlineStr">
        <is>
          <t>kr</t>
        </is>
      </c>
      <c r="E34" s="24" t="inlineStr">
        <is>
          <t>Input. Hentast frå: andre 3xxx kopla til produksjonen.</t>
        </is>
      </c>
      <c r="F34" s="32" t="n"/>
    </row>
    <row r="35">
      <c r="A35" s="20" t="inlineStr">
        <is>
          <t>Herav distriktstilskot kjøt</t>
        </is>
      </c>
      <c r="B35" s="24" t="inlineStr">
        <is>
          <t>3047 Slakt, distriktstilskot (del av slakteinntekta)</t>
        </is>
      </c>
      <c r="C35" s="31" t="n">
        <v>0</v>
      </c>
      <c r="D35" s="12" t="inlineStr">
        <is>
          <t>kr</t>
        </is>
      </c>
      <c r="E35" s="24" t="inlineStr">
        <is>
          <t>Input. Hentast frå: 3047 Slakt, distriktstilskot (del av slakteinntekta). Er med i beløpet over, brukt berre til prisutrekning.</t>
        </is>
      </c>
      <c r="F35" s="32" t="n"/>
    </row>
    <row r="36">
      <c r="A36" s="20" t="inlineStr">
        <is>
          <t>Herav slakteinntekt til kjøtpris (3040–3046, 3048–3049)</t>
        </is>
      </c>
      <c r="B36" s="24" t="inlineStr">
        <is>
          <t>Slakt sau/lam utan distriktstilskot og utan 3162/3172</t>
        </is>
      </c>
      <c r="C36" s="31" t="n">
        <v>102881.42</v>
      </c>
      <c r="D36" s="12" t="inlineStr">
        <is>
          <t>kr</t>
        </is>
      </c>
      <c r="E36" s="24" t="inlineStr">
        <is>
          <t>Input. Hentast frå: Slakt sau/lam utan distriktstilskot og utan 3162/3172. Er med i beløpet over, brukt berre til prisutrekning.</t>
        </is>
      </c>
      <c r="F36" s="32" t="n"/>
    </row>
    <row r="37">
      <c r="A37" s="18" t="inlineStr">
        <is>
          <t>Variable kostnader – eigen grovfôrproduksjon</t>
        </is>
      </c>
      <c r="B37" s="19" t="n"/>
      <c r="C37" s="19" t="n"/>
      <c r="D37" s="19" t="n"/>
      <c r="E37" s="19" t="n"/>
      <c r="F37" s="19" t="n"/>
    </row>
    <row r="38">
      <c r="A38" s="20" t="inlineStr">
        <is>
          <t>Såfrø / grasfrø</t>
        </is>
      </c>
      <c r="B38" s="24" t="inlineStr">
        <is>
          <t>4001</t>
        </is>
      </c>
      <c r="C38" s="31" t="n">
        <v>1243.5</v>
      </c>
      <c r="D38" s="12" t="inlineStr">
        <is>
          <t>kr</t>
        </is>
      </c>
      <c r="E38" s="24" t="inlineStr">
        <is>
          <t>Input. Hentast frå: 4001.</t>
        </is>
      </c>
      <c r="F38" s="32" t="n"/>
    </row>
    <row r="39">
      <c r="A39" s="20" t="inlineStr">
        <is>
          <t>Plantevernmiddel</t>
        </is>
      </c>
      <c r="B39" s="24" t="inlineStr">
        <is>
          <t>4110, 4191</t>
        </is>
      </c>
      <c r="C39" s="31" t="n">
        <v>857.6</v>
      </c>
      <c r="D39" s="12" t="inlineStr">
        <is>
          <t>kr</t>
        </is>
      </c>
      <c r="E39" s="24" t="inlineStr">
        <is>
          <t>Input. Hentast frå: 4110, 4191.</t>
        </is>
      </c>
      <c r="F39" s="32" t="n"/>
    </row>
    <row r="40">
      <c r="A40" s="20" t="inlineStr">
        <is>
          <t>Rundballeplast mm.</t>
        </is>
      </c>
      <c r="B40" s="24" t="inlineStr">
        <is>
          <t>4140, 4194</t>
        </is>
      </c>
      <c r="C40" s="31" t="n">
        <v>3600</v>
      </c>
      <c r="D40" s="12" t="inlineStr">
        <is>
          <t>kr</t>
        </is>
      </c>
      <c r="E40" s="24" t="inlineStr">
        <is>
          <t>Input. Hentast frå: 4140, 4194.</t>
        </is>
      </c>
      <c r="F40" s="32" t="n"/>
    </row>
    <row r="41">
      <c r="A41" s="20" t="inlineStr">
        <is>
          <t>Handelsgjødsel</t>
        </is>
      </c>
      <c r="B41" s="24" t="inlineStr">
        <is>
          <t>4050, 4095</t>
        </is>
      </c>
      <c r="C41" s="31" t="n">
        <v>13399.84</v>
      </c>
      <c r="D41" s="12" t="inlineStr">
        <is>
          <t>kr</t>
        </is>
      </c>
      <c r="E41" s="24" t="inlineStr">
        <is>
          <t>Input. Hentast frå: 4050, 4095.</t>
        </is>
      </c>
      <c r="F41" s="32" t="n"/>
    </row>
    <row r="42">
      <c r="A42" s="20" t="inlineStr">
        <is>
          <t>Kalk</t>
        </is>
      </c>
      <c r="B42" s="24" t="inlineStr">
        <is>
          <t>4057</t>
        </is>
      </c>
      <c r="C42" s="31" t="n">
        <v>1783.56</v>
      </c>
      <c r="D42" s="12" t="inlineStr">
        <is>
          <t>kr</t>
        </is>
      </c>
      <c r="E42" s="24" t="inlineStr">
        <is>
          <t>Input. Hentast frå: 4057.</t>
        </is>
      </c>
      <c r="F42" s="32" t="n"/>
    </row>
    <row r="43">
      <c r="A43" s="20" t="inlineStr">
        <is>
          <t>Konserveringsmiddel</t>
        </is>
      </c>
      <c r="B43" s="24" t="inlineStr">
        <is>
          <t>4080, 4098</t>
        </is>
      </c>
      <c r="C43" s="31" t="n">
        <v>1212</v>
      </c>
      <c r="D43" s="12" t="inlineStr">
        <is>
          <t>kr</t>
        </is>
      </c>
      <c r="E43" s="24" t="inlineStr">
        <is>
          <t>Input. Hentast frå: 4080, 4098.</t>
        </is>
      </c>
      <c r="F43" s="32" t="n"/>
    </row>
    <row r="44">
      <c r="A44" s="20" t="inlineStr">
        <is>
          <t>Endring anna varelager (variable kostn.)</t>
        </is>
      </c>
      <c r="B44" s="24" t="inlineStr">
        <is>
          <t>4090</t>
        </is>
      </c>
      <c r="C44" s="31" t="n">
        <v>0</v>
      </c>
      <c r="D44" s="12" t="inlineStr">
        <is>
          <t>kr</t>
        </is>
      </c>
      <c r="E44" s="24" t="inlineStr">
        <is>
          <t>Input. Hentast frå: 4090.</t>
        </is>
      </c>
      <c r="F44" s="32" t="n"/>
    </row>
    <row r="45">
      <c r="A45" s="20" t="inlineStr">
        <is>
          <t>Endring eigenprodusert grovfôr (+ = nedgang i lager)</t>
        </is>
      </c>
      <c r="B45" s="24" t="inlineStr">
        <is>
          <t>4297</t>
        </is>
      </c>
      <c r="C45" s="31" t="n">
        <v>4639</v>
      </c>
      <c r="D45" s="12" t="inlineStr">
        <is>
          <t>kr</t>
        </is>
      </c>
      <c r="E45" s="24" t="inlineStr">
        <is>
          <t>Input. Hentast frå: 4297.</t>
        </is>
      </c>
      <c r="F45" s="32" t="n"/>
    </row>
    <row r="46">
      <c r="A46" s="18" t="inlineStr">
        <is>
          <t>Variable kostnader – anna</t>
        </is>
      </c>
      <c r="B46" s="19" t="n"/>
      <c r="C46" s="19" t="n"/>
      <c r="D46" s="19" t="n"/>
      <c r="E46" s="19" t="n"/>
      <c r="F46" s="19" t="n"/>
    </row>
    <row r="47">
      <c r="A47" s="20" t="inlineStr">
        <is>
          <t>Kjøp grovfôr</t>
        </is>
      </c>
      <c r="B47" s="24" t="inlineStr">
        <is>
          <t>4030</t>
        </is>
      </c>
      <c r="C47" s="31" t="n">
        <v>156.8</v>
      </c>
      <c r="D47" s="12" t="inlineStr">
        <is>
          <t>kr</t>
        </is>
      </c>
      <c r="E47" s="24" t="inlineStr">
        <is>
          <t>Input. Hentast frå: 4030.</t>
        </is>
      </c>
      <c r="F47" s="32" t="n"/>
    </row>
    <row r="48">
      <c r="A48" s="20" t="inlineStr">
        <is>
          <t>Beiteleige / dyr på beite</t>
        </is>
      </c>
      <c r="B48" s="24" t="inlineStr">
        <is>
          <t>4031</t>
        </is>
      </c>
      <c r="C48" s="31" t="n">
        <v>0</v>
      </c>
      <c r="D48" s="12" t="inlineStr">
        <is>
          <t>kr</t>
        </is>
      </c>
      <c r="E48" s="24" t="inlineStr">
        <is>
          <t>Input. Hentast frå: 4031.</t>
        </is>
      </c>
      <c r="F48" s="32" t="n"/>
    </row>
    <row r="49">
      <c r="A49" s="20" t="inlineStr">
        <is>
          <t>Endring innkjøpt grovfôrlager</t>
        </is>
      </c>
      <c r="B49" s="24" t="inlineStr">
        <is>
          <t>4093</t>
        </is>
      </c>
      <c r="C49" s="31" t="n">
        <v>0</v>
      </c>
      <c r="D49" s="12" t="inlineStr">
        <is>
          <t>kr</t>
        </is>
      </c>
      <c r="E49" s="24" t="inlineStr">
        <is>
          <t>Input. Hentast frå: 4093.</t>
        </is>
      </c>
      <c r="F49" s="32" t="n"/>
    </row>
    <row r="50">
      <c r="A50" s="20" t="inlineStr">
        <is>
          <t>Kraftfôr mm.</t>
        </is>
      </c>
      <c r="B50" s="24" t="inlineStr">
        <is>
          <t>4020-4029, 4040-4049, 4092, 4094</t>
        </is>
      </c>
      <c r="C50" s="31" t="n">
        <v>51071.22</v>
      </c>
      <c r="D50" s="12" t="inlineStr">
        <is>
          <t>kr</t>
        </is>
      </c>
      <c r="E50" s="24" t="inlineStr">
        <is>
          <t>Input. Hentast frå: 4020-4029, 4040-4049, 4092, 4094.</t>
        </is>
      </c>
      <c r="F50" s="32" t="n"/>
    </row>
    <row r="51">
      <c r="A51" s="20" t="inlineStr">
        <is>
          <t>Veterinær, medisin, semin mm.</t>
        </is>
      </c>
      <c r="B51" s="24" t="inlineStr">
        <is>
          <t>4120, 4192, 4520-4529</t>
        </is>
      </c>
      <c r="C51" s="31" t="n">
        <v>14001.21</v>
      </c>
      <c r="D51" s="12" t="inlineStr">
        <is>
          <t>kr</t>
        </is>
      </c>
      <c r="E51" s="24" t="inlineStr">
        <is>
          <t>Input. Hentast frå: 4120, 4192, 4520-4529.</t>
        </is>
      </c>
      <c r="F51" s="32" t="n"/>
    </row>
    <row r="52">
      <c r="A52" s="20" t="inlineStr">
        <is>
          <t>Innkjøp dyr</t>
        </is>
      </c>
      <c r="B52" s="24" t="inlineStr">
        <is>
          <t>4600-4689</t>
        </is>
      </c>
      <c r="C52" s="31" t="n">
        <v>0</v>
      </c>
      <c r="D52" s="12" t="inlineStr">
        <is>
          <t>kr</t>
        </is>
      </c>
      <c r="E52" s="24" t="inlineStr">
        <is>
          <t>Input. Hentast frå: 4600-4689.</t>
        </is>
      </c>
      <c r="F52" s="32" t="n"/>
    </row>
    <row r="53">
      <c r="A53" s="20" t="inlineStr">
        <is>
          <t>Andre variable kostnader</t>
        </is>
      </c>
      <c r="B53" s="24" t="inlineStr">
        <is>
          <t>4130-4139, 4193, 4530-4549, 4560-4569 + andre 4xxx</t>
        </is>
      </c>
      <c r="C53" s="31" t="n">
        <v>7533.75</v>
      </c>
      <c r="D53" s="12" t="inlineStr">
        <is>
          <t>kr</t>
        </is>
      </c>
      <c r="E53" s="24" t="inlineStr">
        <is>
          <t>Input. Hentast frå: 4130-4139, 4193, 4530-4549, 4560-4569 + andre 4xxx.</t>
        </is>
      </c>
      <c r="F53" s="32" t="n"/>
    </row>
    <row r="54">
      <c r="A54" s="18" t="inlineStr">
        <is>
          <t>3. INPUT – Fordelte faste kostnader (lenka frå arket «Faste kostnader»)</t>
        </is>
      </c>
      <c r="B54" s="19" t="n"/>
      <c r="C54" s="19" t="n"/>
      <c r="D54" s="19" t="n"/>
      <c r="E54" s="19" t="n"/>
      <c r="F54" s="19" t="n"/>
    </row>
    <row r="55">
      <c r="A55" s="20" t="inlineStr">
        <is>
          <t>Maskinkostnader fordelt</t>
        </is>
      </c>
      <c r="B55" s="21" t="inlineStr">
        <is>
          <t>Lenkje frå anna ark</t>
        </is>
      </c>
      <c r="C55" s="13">
        <f>'Faste kostnader'!C53</f>
        <v/>
      </c>
      <c r="D55" s="12" t="inlineStr">
        <is>
          <t>kr</t>
        </is>
      </c>
      <c r="E55" s="23" t="inlineStr">
        <is>
          <t>Maskinkostnader fordelt = Maskinkostnader – Sau [Faste kostnader!C53]</t>
        </is>
      </c>
      <c r="F55" s="24" t="inlineStr">
        <is>
          <t>='Faste kostnader'!C53</t>
        </is>
      </c>
    </row>
    <row r="56">
      <c r="A56" s="20" t="inlineStr">
        <is>
          <t>Innandørsmekanisering fordelt</t>
        </is>
      </c>
      <c r="B56" s="21" t="inlineStr">
        <is>
          <t>Lenkje frå anna ark</t>
        </is>
      </c>
      <c r="C56" s="13">
        <f>'Faste kostnader'!C84</f>
        <v/>
      </c>
      <c r="D56" s="12" t="inlineStr">
        <is>
          <t>kr</t>
        </is>
      </c>
      <c r="E56" s="23" t="inlineStr">
        <is>
          <t>Innandørsmekanisering fordelt = Innandørsmekanisering – Sau [Faste kostnader!C84]</t>
        </is>
      </c>
      <c r="F56" s="24" t="inlineStr">
        <is>
          <t>='Faste kostnader'!C84</t>
        </is>
      </c>
    </row>
    <row r="57">
      <c r="A57" s="18" t="inlineStr">
        <is>
          <t>4. UTREKNING – Totalt for produksjonen</t>
        </is>
      </c>
      <c r="B57" s="19" t="n"/>
      <c r="C57" s="19" t="n"/>
      <c r="D57" s="19" t="n"/>
      <c r="E57" s="19" t="n"/>
      <c r="F57" s="19" t="n"/>
    </row>
    <row r="58">
      <c r="A58" s="20" t="inlineStr">
        <is>
          <t>Produksjonsinntekter i alt</t>
        </is>
      </c>
      <c r="B58" s="21" t="inlineStr">
        <is>
          <t>Utrekna</t>
        </is>
      </c>
      <c r="C58" s="22">
        <f>C30+C31+C32+C33+C34</f>
        <v/>
      </c>
      <c r="D58" s="12" t="inlineStr">
        <is>
          <t>kr</t>
        </is>
      </c>
      <c r="E58" s="23" t="inlineStr">
        <is>
          <t>Produksjonsinntekter i alt = Ull [C30] + Slakt [C31] + Livdyrsal [C32] + Buskap, beholdningsendring (+ = auke) [C33] + Andre inntekter [C34]</t>
        </is>
      </c>
      <c r="F58" s="24" t="inlineStr">
        <is>
          <t>=C30+C31+C32+C33+C34</t>
        </is>
      </c>
    </row>
    <row r="59">
      <c r="A59" s="20" t="inlineStr">
        <is>
          <t>Eigen grovfôr – sum variable kostnader</t>
        </is>
      </c>
      <c r="B59" s="21" t="inlineStr">
        <is>
          <t>Utrekna</t>
        </is>
      </c>
      <c r="C59" s="22">
        <f>C38+C39+C40+C41+C42+C43+C44+C45</f>
        <v/>
      </c>
      <c r="D59" s="12" t="inlineStr">
        <is>
          <t>kr</t>
        </is>
      </c>
      <c r="E59" s="23" t="inlineStr">
        <is>
          <t>Eigen grovfôr – sum variable kostnader = Såfrø / grasfrø [C38] + Plantevernmiddel [C39] + Rundballeplast mm. [C40] + Handelsgjødsel [C41] + Kalk [C42] + Konserveringsmiddel [C43] + Endring anna varelager (variable kostn.) [C44] + Endring eigenprodusert grovfôr (+ = nedgang i lager) [C45]</t>
        </is>
      </c>
      <c r="F59" s="24" t="inlineStr">
        <is>
          <t>=C38+C39+C40+C41+C42+C43+C44+C45</t>
        </is>
      </c>
    </row>
    <row r="60">
      <c r="A60" s="20" t="inlineStr">
        <is>
          <t>Variabel grovfôrkostnad (utan plast og lagerendring eigenprodusert)</t>
        </is>
      </c>
      <c r="B60" s="21" t="inlineStr">
        <is>
          <t>Utrekna</t>
        </is>
      </c>
      <c r="C60" s="22">
        <f>C38+C39+C41+C42+C43+C44</f>
        <v/>
      </c>
      <c r="D60" s="12" t="inlineStr">
        <is>
          <t>kr</t>
        </is>
      </c>
      <c r="E60" s="23" t="inlineStr">
        <is>
          <t>Variabel grovfôrkostnad (utan plast og lagerendring eigenprodusert) = Såfrø / grasfrø [C38] + Plantevernmiddel [C39] + Handelsgjødsel [C41] + Kalk [C42] + Konserveringsmiddel [C43] + Endring anna varelager (variable kostn.) [C44]   (Brukt i «Variabel grovfôrkostnad pr dekar» – same utval som eksempelanalysen)</t>
        </is>
      </c>
      <c r="F60" s="24" t="inlineStr">
        <is>
          <t>=C38+C39+C41+C42+C43+C44</t>
        </is>
      </c>
    </row>
    <row r="61">
      <c r="A61" s="20" t="inlineStr">
        <is>
          <t>Sum eigen grovfôrproduksjon (utan lagerendring)</t>
        </is>
      </c>
      <c r="B61" s="21" t="inlineStr">
        <is>
          <t>Utrekna</t>
        </is>
      </c>
      <c r="C61" s="22">
        <f>C59-C45</f>
        <v/>
      </c>
      <c r="D61" s="12" t="inlineStr">
        <is>
          <t>kr</t>
        </is>
      </c>
      <c r="E61" s="23" t="inlineStr">
        <is>
          <t>Sum eigen grovfôrproduksjon (utan lagerendring) = Eigen grovfôr – sum variable kostnader [C59] − Endring eigenprodusert grovfôr (+ = nedgang i lager) [C45]   (Brukt til å fordele grovfôrarealet mellom produksjonane)</t>
        </is>
      </c>
      <c r="F61" s="24" t="inlineStr">
        <is>
          <t>=C59-C45</t>
        </is>
      </c>
    </row>
    <row r="62">
      <c r="A62" s="20" t="inlineStr">
        <is>
          <t>Grovfôr – kostnad i alt</t>
        </is>
      </c>
      <c r="B62" s="21" t="inlineStr">
        <is>
          <t>Utrekna</t>
        </is>
      </c>
      <c r="C62" s="22">
        <f>C59+C47+C49</f>
        <v/>
      </c>
      <c r="D62" s="12" t="inlineStr">
        <is>
          <t>kr</t>
        </is>
      </c>
      <c r="E62" s="23" t="inlineStr">
        <is>
          <t>Grovfôr – kostnad i alt = Eigen grovfôr – sum variable kostnader [C59] + Kjøp grovfôr [C47] + Endring innkjøpt grovfôrlager [C49]</t>
        </is>
      </c>
      <c r="F62" s="24" t="inlineStr">
        <is>
          <t>=C59+C47+C49</t>
        </is>
      </c>
    </row>
    <row r="63">
      <c r="A63" s="20" t="inlineStr">
        <is>
          <t>Variable kostnader i alt</t>
        </is>
      </c>
      <c r="B63" s="21" t="inlineStr">
        <is>
          <t>Utrekna</t>
        </is>
      </c>
      <c r="C63" s="22">
        <f>C62+C48+C50+C51+C52+C53</f>
        <v/>
      </c>
      <c r="D63" s="12" t="inlineStr">
        <is>
          <t>kr</t>
        </is>
      </c>
      <c r="E63" s="23" t="inlineStr">
        <is>
          <t>Variable kostnader i alt = Grovfôr – kostnad i alt [C62] + Beiteleige / dyr på beite [C48] + Kraftfôr mm. [C50] + Veterinær, medisin, semin mm. [C51] + Innkjøp dyr [C52] + Andre variable kostnader [C53]</t>
        </is>
      </c>
      <c r="F63" s="24" t="inlineStr">
        <is>
          <t>=C62+C48+C50+C51+C52+C53</t>
        </is>
      </c>
    </row>
    <row r="64">
      <c r="A64" s="25" t="inlineStr">
        <is>
          <t>Dekningsbidrag (DB) utan tilskot</t>
        </is>
      </c>
      <c r="B64" s="26" t="inlineStr">
        <is>
          <t>Utrekna</t>
        </is>
      </c>
      <c r="C64" s="27">
        <f>C58-C63</f>
        <v/>
      </c>
      <c r="D64" s="28" t="inlineStr">
        <is>
          <t>kr</t>
        </is>
      </c>
      <c r="E64" s="29" t="inlineStr">
        <is>
          <t>Dekningsbidrag (DB) utan tilskot = Produksjonsinntekter i alt [C58] − Variable kostnader i alt [C63]</t>
        </is>
      </c>
      <c r="F64" s="30" t="inlineStr">
        <is>
          <t>=C58-C63</t>
        </is>
      </c>
    </row>
    <row r="65">
      <c r="A65" s="25" t="inlineStr">
        <is>
          <t>Dekningsbidrag (DB) med tilskot</t>
        </is>
      </c>
      <c r="B65" s="26" t="inlineStr">
        <is>
          <t>Utrekna</t>
        </is>
      </c>
      <c r="C65" s="27">
        <f>C64+C29</f>
        <v/>
      </c>
      <c r="D65" s="28" t="inlineStr">
        <is>
          <t>kr</t>
        </is>
      </c>
      <c r="E65" s="29" t="inlineStr">
        <is>
          <t>Dekningsbidrag (DB) med tilskot = Dekningsbidrag (DB) utan tilskot [C64] + Produksjonstilskot fordelt på produksjonen [C29]</t>
        </is>
      </c>
      <c r="F65" s="30" t="inlineStr">
        <is>
          <t>=C64+C29</t>
        </is>
      </c>
    </row>
    <row r="66">
      <c r="A66" s="20" t="inlineStr">
        <is>
          <t>DB m/tilskot etter maskin- og innandørskostnad</t>
        </is>
      </c>
      <c r="B66" s="21" t="inlineStr">
        <is>
          <t>Utrekna</t>
        </is>
      </c>
      <c r="C66" s="22">
        <f>C65-C55-C56</f>
        <v/>
      </c>
      <c r="D66" s="12" t="inlineStr">
        <is>
          <t>kr</t>
        </is>
      </c>
      <c r="E66" s="23" t="inlineStr">
        <is>
          <t>DB m/tilskot etter maskin- og innandørskostnad = Dekningsbidrag (DB) med tilskot [C65] − Maskinkostnader fordelt [C55] − Innandørsmekanisering fordelt [C56]</t>
        </is>
      </c>
      <c r="F66" s="24" t="inlineStr">
        <is>
          <t>=C65-C55-C56</t>
        </is>
      </c>
    </row>
    <row r="67">
      <c r="A67" s="20" t="inlineStr">
        <is>
          <t>«Kueiningar»</t>
        </is>
      </c>
      <c r="B67" s="21" t="inlineStr">
        <is>
          <t>Utrekna</t>
        </is>
      </c>
      <c r="C67" s="38">
        <f>(C13+C14+C15+C16+C17+C18)/2/6</f>
        <v/>
      </c>
      <c r="D67" s="12" t="inlineStr">
        <is>
          <t>stk</t>
        </is>
      </c>
      <c r="E67" s="23" t="inlineStr">
        <is>
          <t>«Kueiningar» = (Sauer frå inngåande balanse pr 1.1. (stk) [C13] + Sauer tilført i året pr 1.1. (stk) [C14] + Sau/lam under 12 md pr 1.1. (stk) [C15] + Sauer frå inngåande balanse pr 31.12. (stk) [C16] + Sauer tilført i året pr 31.12. (stk) [C17] + Sau/lam under 12 md pr 31.12. (stk) [C18]) / 2 / 6   (Vekting av dyretal (snitt 1.1. og 31.12.) – sjå formel)</t>
        </is>
      </c>
      <c r="F67" s="24" t="inlineStr">
        <is>
          <t>=(C13+C14+C15+C16+C17+C18)/2/6</t>
        </is>
      </c>
    </row>
    <row r="68">
      <c r="A68" s="20" t="inlineStr">
        <is>
          <t>Prisendring pr dyr – sauer IB-gruppe</t>
        </is>
      </c>
      <c r="B68" s="21" t="inlineStr">
        <is>
          <t>Utrekna</t>
        </is>
      </c>
      <c r="C68" s="38">
        <f>IF(C13*C16=0,0,C22/C16-C19/C13)</f>
        <v/>
      </c>
      <c r="D68" s="12" t="inlineStr">
        <is>
          <t>kr</t>
        </is>
      </c>
      <c r="E68" s="23" t="inlineStr">
        <is>
          <t>Prisendring pr dyr – sauer IB-gruppe = HVIS(Sauer frå inngåande balanse pr 1.1. (stk) [C13] × Sauer frå inngåande balanse pr 31.12. (stk) [C16]=0; 0; Verdi sauer IB-gruppe pr 31.12. [C22] / Sauer frå inngåande balanse pr 31.12. (stk) [C16] − Verdi sauer IB-gruppe pr 1.1. [C19] / Sauer frå inngåande balanse pr 1.1. (stk) [C13])</t>
        </is>
      </c>
      <c r="F68" s="24" t="inlineStr">
        <is>
          <t>=IF(C13*C16=0,0,C22/C16-C19/C13)</t>
        </is>
      </c>
    </row>
    <row r="69">
      <c r="A69" s="20" t="inlineStr">
        <is>
          <t>Prisendring pr dyr – sauer tilført</t>
        </is>
      </c>
      <c r="B69" s="21" t="inlineStr">
        <is>
          <t>Utrekna</t>
        </is>
      </c>
      <c r="C69" s="38">
        <f>IF(C14*C17=0,0,C23/C17-C20/C14)</f>
        <v/>
      </c>
      <c r="D69" s="12" t="inlineStr">
        <is>
          <t>kr</t>
        </is>
      </c>
      <c r="E69" s="23" t="inlineStr">
        <is>
          <t>Prisendring pr dyr – sauer tilført = HVIS(Sauer tilført i året pr 1.1. (stk) [C14] × Sauer tilført i året pr 31.12. (stk) [C17]=0; 0; Verdi sauer tilført pr 31.12. [C23] / Sauer tilført i året pr 31.12. (stk) [C17] − Verdi sauer tilført pr 1.1. [C20] / Sauer tilført i året pr 1.1. (stk) [C14])</t>
        </is>
      </c>
      <c r="F69" s="24" t="inlineStr">
        <is>
          <t>=IF(C14*C17=0,0,C23/C17-C20/C14)</t>
        </is>
      </c>
    </row>
    <row r="70">
      <c r="A70" s="20" t="inlineStr">
        <is>
          <t>Prisendring pr dyr – sau/lam u. 12 md</t>
        </is>
      </c>
      <c r="B70" s="21" t="inlineStr">
        <is>
          <t>Utrekna</t>
        </is>
      </c>
      <c r="C70" s="38">
        <f>IF(C15*C18=0,0,C24/C18-C21/C15)</f>
        <v/>
      </c>
      <c r="D70" s="12" t="inlineStr">
        <is>
          <t>kr</t>
        </is>
      </c>
      <c r="E70" s="23" t="inlineStr">
        <is>
          <t>Prisendring pr dyr – sau/lam u. 12 md = HVIS(Sau/lam under 12 md pr 1.1. (stk) [C15] × Sau/lam under 12 md pr 31.12. (stk) [C18]=0; 0; Verdi sau/lam u. 12 md pr 31.12. [C24] / Sau/lam under 12 md pr 31.12. (stk) [C18] − Verdi sau/lam u. 12 md pr 1.1. [C21] / Sau/lam under 12 md pr 1.1. (stk) [C15])</t>
        </is>
      </c>
      <c r="F70" s="24" t="inlineStr">
        <is>
          <t>=IF(C15*C18=0,0,C24/C18-C21/C15)</t>
        </is>
      </c>
    </row>
    <row r="71">
      <c r="A71" s="20" t="inlineStr">
        <is>
          <t>Endring i buskapsverdi grunna prisendring</t>
        </is>
      </c>
      <c r="B71" s="21" t="inlineStr">
        <is>
          <t>Utrekna</t>
        </is>
      </c>
      <c r="C71" s="22">
        <f>C16*C68+C17*C69+C18*C70</f>
        <v/>
      </c>
      <c r="D71" s="12" t="inlineStr">
        <is>
          <t>kr</t>
        </is>
      </c>
      <c r="E71" s="23" t="inlineStr">
        <is>
          <t>Endring i buskapsverdi grunna prisendring = Sauer frå inngåande balanse pr 31.12. (stk) [C16] × Prisendring pr dyr – sauer IB-gruppe [C68] + Sauer tilført i året pr 31.12. (stk) [C17] × Prisendring pr dyr – sauer tilført [C69] + Sau/lam under 12 md pr 31.12. (stk) [C18] × Prisendring pr dyr – sau/lam u. 12 md [C70]</t>
        </is>
      </c>
      <c r="F71" s="24" t="inlineStr">
        <is>
          <t>=C16*C68+C17*C69+C18*C70</t>
        </is>
      </c>
    </row>
    <row r="72">
      <c r="A72" s="18" t="inlineStr">
        <is>
          <t>5. OUTPUT – Per eining (pr vf. sau)</t>
        </is>
      </c>
      <c r="B72" s="19" t="n"/>
      <c r="C72" s="19" t="n"/>
      <c r="D72" s="19" t="n"/>
      <c r="E72" s="19" t="n"/>
      <c r="F72" s="19" t="n"/>
    </row>
    <row r="73">
      <c r="A73" s="18" t="inlineStr">
        <is>
          <t>Produksjonsinntekter pr vf. sau</t>
        </is>
      </c>
      <c r="B73" s="19" t="n"/>
      <c r="C73" s="19" t="n"/>
      <c r="D73" s="19" t="n"/>
      <c r="E73" s="19" t="n"/>
      <c r="F73" s="19" t="n"/>
    </row>
    <row r="74">
      <c r="A74" s="20" t="inlineStr">
        <is>
          <t>Ull</t>
        </is>
      </c>
      <c r="B74" s="21" t="inlineStr">
        <is>
          <t>Utrekna</t>
        </is>
      </c>
      <c r="C74" s="38">
        <f>IF((C7)=0,0,(C30)/(C7))</f>
        <v/>
      </c>
      <c r="D74" s="12" t="inlineStr">
        <is>
          <t>kr</t>
        </is>
      </c>
      <c r="E74" s="23" t="inlineStr">
        <is>
          <t>Ull = Ull [C30] ÷ Tal vinterfôra sau [C7]</t>
        </is>
      </c>
      <c r="F74" s="24" t="inlineStr">
        <is>
          <t>=IF((C7)=0,0,(C30)/(C7))</t>
        </is>
      </c>
    </row>
    <row r="75">
      <c r="A75" s="20" t="inlineStr">
        <is>
          <t>Slakt</t>
        </is>
      </c>
      <c r="B75" s="21" t="inlineStr">
        <is>
          <t>Utrekna</t>
        </is>
      </c>
      <c r="C75" s="38">
        <f>IF((C7)=0,0,(C31)/(C7))</f>
        <v/>
      </c>
      <c r="D75" s="12" t="inlineStr">
        <is>
          <t>kr</t>
        </is>
      </c>
      <c r="E75" s="23" t="inlineStr">
        <is>
          <t>Slakt = Slakt [C31] ÷ Tal vinterfôra sau [C7]</t>
        </is>
      </c>
      <c r="F75" s="24" t="inlineStr">
        <is>
          <t>=IF((C7)=0,0,(C31)/(C7))</t>
        </is>
      </c>
    </row>
    <row r="76">
      <c r="A76" s="20" t="inlineStr">
        <is>
          <t>Livdyrsal</t>
        </is>
      </c>
      <c r="B76" s="21" t="inlineStr">
        <is>
          <t>Utrekna</t>
        </is>
      </c>
      <c r="C76" s="38">
        <f>IF((C7)=0,0,(C32)/(C7))</f>
        <v/>
      </c>
      <c r="D76" s="12" t="inlineStr">
        <is>
          <t>kr</t>
        </is>
      </c>
      <c r="E76" s="23" t="inlineStr">
        <is>
          <t>Livdyrsal = Livdyrsal [C32] ÷ Tal vinterfôra sau [C7]</t>
        </is>
      </c>
      <c r="F76" s="24" t="inlineStr">
        <is>
          <t>=IF((C7)=0,0,(C32)/(C7))</t>
        </is>
      </c>
    </row>
    <row r="77">
      <c r="A77" s="20" t="inlineStr">
        <is>
          <t>Buskap, beholdningsendring (+ = auke)</t>
        </is>
      </c>
      <c r="B77" s="21" t="inlineStr">
        <is>
          <t>Utrekna</t>
        </is>
      </c>
      <c r="C77" s="38">
        <f>IF((C7)=0,0,(C33)/(C7))</f>
        <v/>
      </c>
      <c r="D77" s="12" t="inlineStr">
        <is>
          <t>kr</t>
        </is>
      </c>
      <c r="E77" s="23" t="inlineStr">
        <is>
          <t>Buskap, beholdningsendring (+ = auke) = Buskap, beholdningsendring (+ = auke) [C33] ÷ Tal vinterfôra sau [C7]</t>
        </is>
      </c>
      <c r="F77" s="24" t="inlineStr">
        <is>
          <t>=IF((C7)=0,0,(C33)/(C7))</t>
        </is>
      </c>
    </row>
    <row r="78">
      <c r="A78" s="20" t="inlineStr">
        <is>
          <t>Andre inntekter</t>
        </is>
      </c>
      <c r="B78" s="21" t="inlineStr">
        <is>
          <t>Utrekna</t>
        </is>
      </c>
      <c r="C78" s="38">
        <f>IF((C7)=0,0,(C34)/(C7))</f>
        <v/>
      </c>
      <c r="D78" s="12" t="inlineStr">
        <is>
          <t>kr</t>
        </is>
      </c>
      <c r="E78" s="23" t="inlineStr">
        <is>
          <t>Andre inntekter = Andre inntekter [C34] ÷ Tal vinterfôra sau [C7]</t>
        </is>
      </c>
      <c r="F78" s="24" t="inlineStr">
        <is>
          <t>=IF((C7)=0,0,(C34)/(C7))</t>
        </is>
      </c>
    </row>
    <row r="79">
      <c r="A79" s="20" t="inlineStr">
        <is>
          <t>Produksjonsinntekter i alt</t>
        </is>
      </c>
      <c r="B79" s="21" t="inlineStr">
        <is>
          <t>Utrekna</t>
        </is>
      </c>
      <c r="C79" s="38">
        <f>IF((C7)=0,0,(C58)/(C7))</f>
        <v/>
      </c>
      <c r="D79" s="12" t="inlineStr">
        <is>
          <t>kr</t>
        </is>
      </c>
      <c r="E79" s="23" t="inlineStr">
        <is>
          <t>Produksjonsinntekter i alt = Produksjonsinntekter i alt [C58] ÷ Tal vinterfôra sau [C7]</t>
        </is>
      </c>
      <c r="F79" s="24" t="inlineStr">
        <is>
          <t>=IF((C7)=0,0,(C58)/(C7))</t>
        </is>
      </c>
    </row>
    <row r="80">
      <c r="A80" s="18" t="inlineStr">
        <is>
          <t>Variable kostnader pr vf. sau</t>
        </is>
      </c>
      <c r="B80" s="19" t="n"/>
      <c r="C80" s="19" t="n"/>
      <c r="D80" s="19" t="n"/>
      <c r="E80" s="19" t="n"/>
      <c r="F80" s="19" t="n"/>
    </row>
    <row r="81">
      <c r="A81" s="20" t="inlineStr">
        <is>
          <t>Eigen grovfôrproduksjon</t>
        </is>
      </c>
      <c r="B81" s="21" t="inlineStr">
        <is>
          <t>Utrekna</t>
        </is>
      </c>
      <c r="C81" s="38">
        <f>IF((C7)=0,0,(C61)/(C7))</f>
        <v/>
      </c>
      <c r="D81" s="12" t="inlineStr">
        <is>
          <t>kr</t>
        </is>
      </c>
      <c r="E81" s="23" t="inlineStr">
        <is>
          <t>Eigen grovfôrproduksjon = Sum eigen grovfôrproduksjon (utan lagerendring) [C61] ÷ Tal vinterfôra sau [C7]</t>
        </is>
      </c>
      <c r="F81" s="24" t="inlineStr">
        <is>
          <t>=IF((C7)=0,0,(C61)/(C7))</t>
        </is>
      </c>
    </row>
    <row r="82">
      <c r="A82" s="20" t="inlineStr">
        <is>
          <t>Kjøpt grovfôr</t>
        </is>
      </c>
      <c r="B82" s="21" t="inlineStr">
        <is>
          <t>Utrekna</t>
        </is>
      </c>
      <c r="C82" s="38">
        <f>IF((C7)=0,0,(C47)/(C7))</f>
        <v/>
      </c>
      <c r="D82" s="12" t="inlineStr">
        <is>
          <t>kr</t>
        </is>
      </c>
      <c r="E82" s="23" t="inlineStr">
        <is>
          <t>Kjøpt grovfôr = Kjøp grovfôr [C47] ÷ Tal vinterfôra sau [C7]</t>
        </is>
      </c>
      <c r="F82" s="24" t="inlineStr">
        <is>
          <t>=IF((C7)=0,0,(C47)/(C7))</t>
        </is>
      </c>
    </row>
    <row r="83">
      <c r="A83" s="20" t="inlineStr">
        <is>
          <t>Varelager endring grovfôr</t>
        </is>
      </c>
      <c r="B83" s="21" t="inlineStr">
        <is>
          <t>Utrekna</t>
        </is>
      </c>
      <c r="C83" s="38">
        <f>IF((C7)=0,0,(C45+C49)/(C7))</f>
        <v/>
      </c>
      <c r="D83" s="12" t="inlineStr">
        <is>
          <t>kr</t>
        </is>
      </c>
      <c r="E83" s="23" t="inlineStr">
        <is>
          <t>Varelager endring grovfôr = (Endring eigenprodusert grovfôr (+ = nedgang i lager) [C45] + Endring innkjøpt grovfôrlager [C49]) ÷ Tal vinterfôra sau [C7]</t>
        </is>
      </c>
      <c r="F83" s="24" t="inlineStr">
        <is>
          <t>=IF((C7)=0,0,(C45+C49)/(C7))</t>
        </is>
      </c>
    </row>
    <row r="84">
      <c r="A84" s="20" t="inlineStr">
        <is>
          <t>Beiteleige</t>
        </is>
      </c>
      <c r="B84" s="21" t="inlineStr">
        <is>
          <t>Utrekna</t>
        </is>
      </c>
      <c r="C84" s="38">
        <f>IF((C7)=0,0,(C48)/(C7))</f>
        <v/>
      </c>
      <c r="D84" s="12" t="inlineStr">
        <is>
          <t>kr</t>
        </is>
      </c>
      <c r="E84" s="23" t="inlineStr">
        <is>
          <t>Beiteleige = Beiteleige / dyr på beite [C48] ÷ Tal vinterfôra sau [C7]</t>
        </is>
      </c>
      <c r="F84" s="24" t="inlineStr">
        <is>
          <t>=IF((C7)=0,0,(C48)/(C7))</t>
        </is>
      </c>
    </row>
    <row r="85">
      <c r="A85" s="20" t="inlineStr">
        <is>
          <t>Kraftfôr mm.</t>
        </is>
      </c>
      <c r="B85" s="21" t="inlineStr">
        <is>
          <t>Utrekna</t>
        </is>
      </c>
      <c r="C85" s="38">
        <f>IF((C7)=0,0,(C50)/(C7))</f>
        <v/>
      </c>
      <c r="D85" s="12" t="inlineStr">
        <is>
          <t>kr</t>
        </is>
      </c>
      <c r="E85" s="23" t="inlineStr">
        <is>
          <t>Kraftfôr mm. = Kraftfôr mm. [C50] ÷ Tal vinterfôra sau [C7]</t>
        </is>
      </c>
      <c r="F85" s="24" t="inlineStr">
        <is>
          <t>=IF((C7)=0,0,(C50)/(C7))</t>
        </is>
      </c>
    </row>
    <row r="86">
      <c r="A86" s="20" t="inlineStr">
        <is>
          <t>Veterinær, medisin, semin mm.</t>
        </is>
      </c>
      <c r="B86" s="21" t="inlineStr">
        <is>
          <t>Utrekna</t>
        </is>
      </c>
      <c r="C86" s="38">
        <f>IF((C7)=0,0,(C51)/(C7))</f>
        <v/>
      </c>
      <c r="D86" s="12" t="inlineStr">
        <is>
          <t>kr</t>
        </is>
      </c>
      <c r="E86" s="23" t="inlineStr">
        <is>
          <t>Veterinær, medisin, semin mm. = Veterinær, medisin, semin mm. [C51] ÷ Tal vinterfôra sau [C7]</t>
        </is>
      </c>
      <c r="F86" s="24" t="inlineStr">
        <is>
          <t>=IF((C7)=0,0,(C51)/(C7))</t>
        </is>
      </c>
    </row>
    <row r="87">
      <c r="A87" s="20" t="inlineStr">
        <is>
          <t>Innkjøp dyr</t>
        </is>
      </c>
      <c r="B87" s="21" t="inlineStr">
        <is>
          <t>Utrekna</t>
        </is>
      </c>
      <c r="C87" s="38">
        <f>IF((C7)=0,0,(C52)/(C7))</f>
        <v/>
      </c>
      <c r="D87" s="12" t="inlineStr">
        <is>
          <t>kr</t>
        </is>
      </c>
      <c r="E87" s="23" t="inlineStr">
        <is>
          <t>Innkjøp dyr = Innkjøp dyr [C52] ÷ Tal vinterfôra sau [C7]</t>
        </is>
      </c>
      <c r="F87" s="24" t="inlineStr">
        <is>
          <t>=IF((C7)=0,0,(C52)/(C7))</t>
        </is>
      </c>
    </row>
    <row r="88">
      <c r="A88" s="20" t="inlineStr">
        <is>
          <t>Andre variable kostnader</t>
        </is>
      </c>
      <c r="B88" s="21" t="inlineStr">
        <is>
          <t>Utrekna</t>
        </is>
      </c>
      <c r="C88" s="38">
        <f>IF((C7)=0,0,(C53)/(C7))</f>
        <v/>
      </c>
      <c r="D88" s="12" t="inlineStr">
        <is>
          <t>kr</t>
        </is>
      </c>
      <c r="E88" s="23" t="inlineStr">
        <is>
          <t>Andre variable kostnader = Andre variable kostnader [C53] ÷ Tal vinterfôra sau [C7]</t>
        </is>
      </c>
      <c r="F88" s="24" t="inlineStr">
        <is>
          <t>=IF((C7)=0,0,(C53)/(C7))</t>
        </is>
      </c>
    </row>
    <row r="89">
      <c r="A89" s="20" t="inlineStr">
        <is>
          <t>Sum variable kostnader</t>
        </is>
      </c>
      <c r="B89" s="21" t="inlineStr">
        <is>
          <t>Utrekna</t>
        </is>
      </c>
      <c r="C89" s="38">
        <f>IF((C7)=0,0,(C63)/(C7))</f>
        <v/>
      </c>
      <c r="D89" s="12" t="inlineStr">
        <is>
          <t>kr</t>
        </is>
      </c>
      <c r="E89" s="23" t="inlineStr">
        <is>
          <t>Sum variable kostnader = Variable kostnader i alt [C63] ÷ Tal vinterfôra sau [C7]</t>
        </is>
      </c>
      <c r="F89" s="24" t="inlineStr">
        <is>
          <t>=IF((C7)=0,0,(C63)/(C7))</t>
        </is>
      </c>
    </row>
    <row r="90">
      <c r="A90" s="18" t="inlineStr">
        <is>
          <t>Resultat pr vf. sau</t>
        </is>
      </c>
      <c r="B90" s="19" t="n"/>
      <c r="C90" s="19" t="n"/>
      <c r="D90" s="19" t="n"/>
      <c r="E90" s="19" t="n"/>
      <c r="F90" s="19" t="n"/>
    </row>
    <row r="91">
      <c r="A91" s="20" t="inlineStr">
        <is>
          <t>DB utan tilskot</t>
        </is>
      </c>
      <c r="B91" s="21" t="inlineStr">
        <is>
          <t>Utrekna</t>
        </is>
      </c>
      <c r="C91" s="38">
        <f>IF((C7)=0,0,(C64)/(C7))</f>
        <v/>
      </c>
      <c r="D91" s="12" t="inlineStr">
        <is>
          <t>kr</t>
        </is>
      </c>
      <c r="E91" s="23" t="inlineStr">
        <is>
          <t>DB utan tilskot = Dekningsbidrag (DB) utan tilskot [C64] ÷ Tal vinterfôra sau [C7]</t>
        </is>
      </c>
      <c r="F91" s="24" t="inlineStr">
        <is>
          <t>=IF((C7)=0,0,(C64)/(C7))</t>
        </is>
      </c>
    </row>
    <row r="92">
      <c r="A92" s="20" t="inlineStr">
        <is>
          <t>Tilskot</t>
        </is>
      </c>
      <c r="B92" s="21" t="inlineStr">
        <is>
          <t>Utrekna</t>
        </is>
      </c>
      <c r="C92" s="38">
        <f>IF((C7)=0,0,(C29)/(C7))</f>
        <v/>
      </c>
      <c r="D92" s="12" t="inlineStr">
        <is>
          <t>kr</t>
        </is>
      </c>
      <c r="E92" s="23" t="inlineStr">
        <is>
          <t>Tilskot = Produksjonstilskot fordelt på produksjonen [C29] ÷ Tal vinterfôra sau [C7]</t>
        </is>
      </c>
      <c r="F92" s="24" t="inlineStr">
        <is>
          <t>=IF((C7)=0,0,(C29)/(C7))</t>
        </is>
      </c>
    </row>
    <row r="93">
      <c r="A93" s="20" t="inlineStr">
        <is>
          <t>DB med tilskot</t>
        </is>
      </c>
      <c r="B93" s="21" t="inlineStr">
        <is>
          <t>Utrekna</t>
        </is>
      </c>
      <c r="C93" s="38">
        <f>IF((C7)=0,0,(C65)/(C7))</f>
        <v/>
      </c>
      <c r="D93" s="12" t="inlineStr">
        <is>
          <t>kr</t>
        </is>
      </c>
      <c r="E93" s="23" t="inlineStr">
        <is>
          <t>DB med tilskot = Dekningsbidrag (DB) med tilskot [C65] ÷ Tal vinterfôra sau [C7]</t>
        </is>
      </c>
      <c r="F93" s="24" t="inlineStr">
        <is>
          <t>=IF((C7)=0,0,(C65)/(C7))</t>
        </is>
      </c>
    </row>
    <row r="94">
      <c r="A94" s="20" t="inlineStr">
        <is>
          <t>Maskinkostnader</t>
        </is>
      </c>
      <c r="B94" s="21" t="inlineStr">
        <is>
          <t>Utrekna</t>
        </is>
      </c>
      <c r="C94" s="38">
        <f>IF((C7)=0,0,(C55)/(C7))</f>
        <v/>
      </c>
      <c r="D94" s="12" t="inlineStr">
        <is>
          <t>kr</t>
        </is>
      </c>
      <c r="E94" s="23" t="inlineStr">
        <is>
          <t>Maskinkostnader = Maskinkostnader fordelt [C55] ÷ Tal vinterfôra sau [C7]</t>
        </is>
      </c>
      <c r="F94" s="24" t="inlineStr">
        <is>
          <t>=IF((C7)=0,0,(C55)/(C7))</t>
        </is>
      </c>
    </row>
    <row r="95">
      <c r="A95" s="20" t="inlineStr">
        <is>
          <t>Innandørsmekanisering</t>
        </is>
      </c>
      <c r="B95" s="21" t="inlineStr">
        <is>
          <t>Utrekna</t>
        </is>
      </c>
      <c r="C95" s="38">
        <f>IF((C7)=0,0,(C56)/(C7))</f>
        <v/>
      </c>
      <c r="D95" s="12" t="inlineStr">
        <is>
          <t>kr</t>
        </is>
      </c>
      <c r="E95" s="23" t="inlineStr">
        <is>
          <t>Innandørsmekanisering = Innandørsmekanisering fordelt [C56] ÷ Tal vinterfôra sau [C7]</t>
        </is>
      </c>
      <c r="F95" s="24" t="inlineStr">
        <is>
          <t>=IF((C7)=0,0,(C56)/(C7))</t>
        </is>
      </c>
    </row>
    <row r="96">
      <c r="A96" s="20" t="inlineStr">
        <is>
          <t>DB m/tilskot etter maskin og innandørsmek.</t>
        </is>
      </c>
      <c r="B96" s="21" t="inlineStr">
        <is>
          <t>Utrekna</t>
        </is>
      </c>
      <c r="C96" s="38">
        <f>IF((C7)=0,0,(C66)/(C7))</f>
        <v/>
      </c>
      <c r="D96" s="12" t="inlineStr">
        <is>
          <t>kr</t>
        </is>
      </c>
      <c r="E96" s="23" t="inlineStr">
        <is>
          <t>DB m/tilskot etter maskin og innandørsmek. = DB m/tilskot etter maskin- og innandørskostnad [C66] ÷ Tal vinterfôra sau [C7]</t>
        </is>
      </c>
      <c r="F96" s="24" t="inlineStr">
        <is>
          <t>=IF((C7)=0,0,(C66)/(C7))</t>
        </is>
      </c>
    </row>
    <row r="97">
      <c r="A97" s="18" t="inlineStr">
        <is>
          <t>6. OUTPUT – Nøkkeltal</t>
        </is>
      </c>
      <c r="B97" s="19" t="n"/>
      <c r="C97" s="19" t="n"/>
      <c r="D97" s="19" t="n"/>
      <c r="E97" s="19" t="n"/>
      <c r="F97" s="19" t="n"/>
    </row>
    <row r="98">
      <c r="A98" s="25" t="inlineStr">
        <is>
          <t>DB pr vf. sau u/tilskot</t>
        </is>
      </c>
      <c r="B98" s="26" t="inlineStr">
        <is>
          <t>Utrekna</t>
        </is>
      </c>
      <c r="C98" s="39">
        <f>IF((C7)=0,0,(C64)/(C7))</f>
        <v/>
      </c>
      <c r="D98" s="28" t="inlineStr">
        <is>
          <t>kr</t>
        </is>
      </c>
      <c r="E98" s="29" t="inlineStr">
        <is>
          <t>DB pr vf. sau u/tilskot = Dekningsbidrag (DB) utan tilskot [C64] ÷ Tal vinterfôra sau [C7]</t>
        </is>
      </c>
      <c r="F98" s="30" t="inlineStr">
        <is>
          <t>=IF((C7)=0,0,(C64)/(C7))</t>
        </is>
      </c>
    </row>
    <row r="99">
      <c r="A99" s="25" t="inlineStr">
        <is>
          <t>DB pr vf. sau m/tilskot</t>
        </is>
      </c>
      <c r="B99" s="26" t="inlineStr">
        <is>
          <t>Utrekna</t>
        </is>
      </c>
      <c r="C99" s="39">
        <f>IF((C7)=0,0,(C65)/(C7))</f>
        <v/>
      </c>
      <c r="D99" s="28" t="inlineStr">
        <is>
          <t>kr</t>
        </is>
      </c>
      <c r="E99" s="29" t="inlineStr">
        <is>
          <t>DB pr vf. sau m/tilskot = Dekningsbidrag (DB) med tilskot [C65] ÷ Tal vinterfôra sau [C7]</t>
        </is>
      </c>
      <c r="F99" s="30" t="inlineStr">
        <is>
          <t>=IF((C7)=0,0,(C65)/(C7))</t>
        </is>
      </c>
    </row>
    <row r="100">
      <c r="A100" s="25" t="inlineStr">
        <is>
          <t>DB pr dekar grovfôr u/tilskot</t>
        </is>
      </c>
      <c r="B100" s="26" t="inlineStr">
        <is>
          <t>Utrekna</t>
        </is>
      </c>
      <c r="C100" s="39">
        <f>IF(('Grovfôr'!C21*IF(('Grovfôr'!C38)=0,0,(C61)/('Grovfôr'!C38)))=0,0,(C64)/('Grovfôr'!C21*IF(('Grovfôr'!C38)=0,0,(C61)/('Grovfôr'!C38))))</f>
        <v/>
      </c>
      <c r="D100" s="28" t="inlineStr">
        <is>
          <t>kr</t>
        </is>
      </c>
      <c r="E100" s="29" t="inlineStr">
        <is>
          <t>DB pr dekar grovfôr u/tilskot = Dekningsbidrag (DB) utan tilskot [C64] ÷ (Korrigert grovfôrareal (overflate/1,25 + fulldyrka + kulturbeite/2,5) [Grovfôr!C21] × Sum eigen grovfôrproduksjon (utan lagerendring) [C61] ÷ Sum eigen grovfôrkostnad (fordelingsnøkkel areal) [Grovfôr!C38])   (Grovfôrarealet blir fordelt etter produksjonen sin del av eigen grovfôrkostnad)</t>
        </is>
      </c>
      <c r="F100" s="30" t="inlineStr">
        <is>
          <t>=IF(('Grovfôr'!C21*IF(('Grovfôr'!C38)=0,0,(C61)/('Grovfôr'!C38)))=0,0,(C64)/('Grovfôr'!C21*IF(('Grovfôr'!C38)=0,0,(C61)/('Grovfôr'!C38))))</t>
        </is>
      </c>
    </row>
    <row r="101">
      <c r="A101" s="25" t="inlineStr">
        <is>
          <t>DB pr dekar grovfôr m/tilskot</t>
        </is>
      </c>
      <c r="B101" s="26" t="inlineStr">
        <is>
          <t>Utrekna</t>
        </is>
      </c>
      <c r="C101" s="39">
        <f>IF(('Grovfôr'!C21*IF(('Grovfôr'!C38)=0,0,(C61)/('Grovfôr'!C38)))=0,0,(C65)/('Grovfôr'!C21*IF(('Grovfôr'!C38)=0,0,(C61)/('Grovfôr'!C38))))</f>
        <v/>
      </c>
      <c r="D101" s="28" t="inlineStr">
        <is>
          <t>kr</t>
        </is>
      </c>
      <c r="E101" s="29" t="inlineStr">
        <is>
          <t>DB pr dekar grovfôr m/tilskot = Dekningsbidrag (DB) med tilskot [C65] ÷ (Korrigert grovfôrareal (overflate/1,25 + fulldyrka + kulturbeite/2,5) [Grovfôr!C21] × Sum eigen grovfôrproduksjon (utan lagerendring) [C61] ÷ Sum eigen grovfôrkostnad (fordelingsnøkkel areal) [Grovfôr!C38])</t>
        </is>
      </c>
      <c r="F101" s="30" t="inlineStr">
        <is>
          <t>=IF(('Grovfôr'!C21*IF(('Grovfôr'!C38)=0,0,(C61)/('Grovfôr'!C38)))=0,0,(C65)/('Grovfôr'!C21*IF(('Grovfôr'!C38)=0,0,(C61)/('Grovfôr'!C38))))</t>
        </is>
      </c>
    </row>
    <row r="102">
      <c r="A102" s="25" t="inlineStr">
        <is>
          <t>Variabel grovfôrkostnad pr dekar</t>
        </is>
      </c>
      <c r="B102" s="26" t="inlineStr">
        <is>
          <t>Lenkje frå anna ark</t>
        </is>
      </c>
      <c r="C102" s="40">
        <f>'Grovfôr'!C52</f>
        <v/>
      </c>
      <c r="D102" s="28" t="inlineStr">
        <is>
          <t>kr</t>
        </is>
      </c>
      <c r="E102" s="29" t="inlineStr">
        <is>
          <t>Variabel grovfôrkostnad pr dekar = Variabel grovfôrkostnad pr korrigert dekar [Grovfôr!C52]</t>
        </is>
      </c>
      <c r="F102" s="30" t="inlineStr">
        <is>
          <t>='Grovfôr'!C52</t>
        </is>
      </c>
    </row>
    <row r="103">
      <c r="A103" s="25" t="inlineStr">
        <is>
          <t>Maskinkostnader pr dekar grovfôr</t>
        </is>
      </c>
      <c r="B103" s="26" t="inlineStr">
        <is>
          <t>Lenkje frå anna ark</t>
        </is>
      </c>
      <c r="C103" s="40">
        <f>'Grovfôr'!C53</f>
        <v/>
      </c>
      <c r="D103" s="28" t="inlineStr">
        <is>
          <t>kr</t>
        </is>
      </c>
      <c r="E103" s="29" t="inlineStr">
        <is>
          <t>Maskinkostnader pr dekar grovfôr = Maskinkostnader pr dekar grovfôr [Grovfôr!C53]</t>
        </is>
      </c>
      <c r="F103" s="30" t="inlineStr">
        <is>
          <t>='Grovfôr'!C53</t>
        </is>
      </c>
    </row>
    <row r="104">
      <c r="A104" s="25" t="inlineStr">
        <is>
          <t>Korrigerte dekar pr «kueining»</t>
        </is>
      </c>
      <c r="B104" s="26" t="inlineStr">
        <is>
          <t>Lenkje frå anna ark</t>
        </is>
      </c>
      <c r="C104" s="40">
        <f>'Grovfôr'!C54</f>
        <v/>
      </c>
      <c r="D104" s="28" t="inlineStr">
        <is>
          <t>da</t>
        </is>
      </c>
      <c r="E104" s="29" t="inlineStr">
        <is>
          <t>Korrigerte dekar pr «kueining» = Korrigerte dekar pr «kueining» [Grovfôr!C54]</t>
        </is>
      </c>
      <c r="F104" s="30" t="inlineStr">
        <is>
          <t>='Grovfôr'!C54</t>
        </is>
      </c>
    </row>
    <row r="105">
      <c r="A105" s="25" t="inlineStr">
        <is>
          <t>Snitt kjøtpris pr kg slakt (u/distriktstilskot)</t>
        </is>
      </c>
      <c r="B105" s="26" t="inlineStr">
        <is>
          <t>Utrekna</t>
        </is>
      </c>
      <c r="C105" s="39">
        <f>IF((C8)=0,0,(IF(C36&gt;0,C36,C31-C35))/(C8))</f>
        <v/>
      </c>
      <c r="D105" s="28" t="inlineStr">
        <is>
          <t>kr</t>
        </is>
      </c>
      <c r="E105" s="29" t="inlineStr">
        <is>
          <t>Snitt kjøtpris pr kg slakt (u/distriktstilskot) = (HVIS(Herav slakteinntekt til kjøtpris (3040–3046, 3048–3049) [C36]&gt;0; Herav slakteinntekt til kjøtpris (3040–3046, 3048–3049) [C36]; Slakt [C31] − Herav distriktstilskot kjøt [C35])) ÷ Kg slakt (sau og lam) [C8]</t>
        </is>
      </c>
      <c r="F105" s="30" t="inlineStr">
        <is>
          <t>=IF((C8)=0,0,(IF(C36&gt;0,C36,C31-C35))/(C8))</t>
        </is>
      </c>
    </row>
    <row r="106">
      <c r="A106" s="25" t="inlineStr">
        <is>
          <t>Innandørsmekanisering pr sau</t>
        </is>
      </c>
      <c r="B106" s="26" t="inlineStr">
        <is>
          <t>Utrekna</t>
        </is>
      </c>
      <c r="C106" s="39">
        <f>IF((C7)=0,0,(C56)/(C7))</f>
        <v/>
      </c>
      <c r="D106" s="28" t="inlineStr">
        <is>
          <t>kr</t>
        </is>
      </c>
      <c r="E106" s="29" t="inlineStr">
        <is>
          <t>Innandørsmekanisering pr sau = Innandørsmekanisering fordelt [C56] ÷ Tal vinterfôra sau [C7]</t>
        </is>
      </c>
      <c r="F106" s="30" t="inlineStr">
        <is>
          <t>=IF((C7)=0,0,(C56)/(C7))</t>
        </is>
      </c>
    </row>
    <row r="107">
      <c r="A107" s="25" t="inlineStr">
        <is>
          <t>Kg slakt pr vf. sau</t>
        </is>
      </c>
      <c r="B107" s="26" t="inlineStr">
        <is>
          <t>Utrekna</t>
        </is>
      </c>
      <c r="C107" s="37">
        <f>IF(C9&gt;0,C9,IF((C7)=0,0,(C8)/(C7)))</f>
        <v/>
      </c>
      <c r="D107" s="28" t="inlineStr">
        <is>
          <t>kg</t>
        </is>
      </c>
      <c r="E107" s="29" t="inlineStr">
        <is>
          <t>Kg slakt pr vf. sau = HVIS(Kg slakt pr vf. sau frå produksjonstabellen (0 = rekna ut) [C9]&gt;0; Kg slakt pr vf. sau frå produksjonstabellen (0 = rekna ut) [C9]; Kg slakt (sau og lam) [C8] ÷ Tal vinterfôra sau [C7])</t>
        </is>
      </c>
      <c r="F107" s="30" t="inlineStr">
        <is>
          <t>=IF(C9&gt;0,C9,IF((C7)=0,0,(C8)/(C7)))</t>
        </is>
      </c>
    </row>
    <row r="108">
      <c r="A108" s="25" t="inlineStr">
        <is>
          <t>Gagnslam pr vf. sau</t>
        </is>
      </c>
      <c r="B108" s="26" t="inlineStr">
        <is>
          <t>Utrekna</t>
        </is>
      </c>
      <c r="C108" s="39">
        <f>IF((C7)=0,0,(C11+C18-C10)/(C7))</f>
        <v/>
      </c>
      <c r="D108" s="28" t="inlineStr">
        <is>
          <t>stk</t>
        </is>
      </c>
      <c r="E108" s="29" t="inlineStr">
        <is>
          <t>Gagnslam pr vf. sau = (Tal slakta/selde årslam (mai–des) [C11] + Sau/lam under 12 md pr 31.12. (stk) [C18] − Tal kjøpte lam (mai–des) [C10]) ÷ Tal vinterfôra sau [C7]   ((Selde/slakta årslam + lam på lager 31.12. – kjøpte lam) delt på vf. sau)</t>
        </is>
      </c>
      <c r="F108" s="30" t="inlineStr">
        <is>
          <t>=IF((C7)=0,0,(C11+C18-C10)/(C7))</t>
        </is>
      </c>
    </row>
    <row r="109">
      <c r="A109" s="25" t="inlineStr">
        <is>
          <t>Del dyr på utmarksbeite</t>
        </is>
      </c>
      <c r="B109" s="26" t="inlineStr">
        <is>
          <t>Utrekna</t>
        </is>
      </c>
      <c r="C109" s="33">
        <f>IF((C16+C17+C18+C12)=0,0,('Grovfôr'!C12+'Grovfôr'!C13)/(C16+C17+C18+C12))</f>
        <v/>
      </c>
      <c r="D109" s="28" t="inlineStr">
        <is>
          <t>%</t>
        </is>
      </c>
      <c r="E109" s="29" t="inlineStr">
        <is>
          <t>Del dyr på utmarksbeite = (Sau på utmarksbeite (1,05 FEm/dag, 95 dagar) [Grovfôr!C12] + Lam på utmarksbeite (1 FEm/dag, 90 dagar) [Grovfôr!C13]) ÷ (Sauer frå inngåande balanse pr 31.12. (stk) [C16] + Sauer tilført i året pr 31.12. (stk) [C17] + Sau/lam under 12 md pr 31.12. (stk) [C18] + Tal slakta/selde sau og lam (juli–des) [C12])</t>
        </is>
      </c>
      <c r="F109" s="30" t="inlineStr">
        <is>
          <t>=IF((C16+C17+C18+C12)=0,0,('Grovfôr'!C12+'Grovfôr'!C13)/(C16+C17+C18+C12))</t>
        </is>
      </c>
    </row>
    <row r="110">
      <c r="A110" s="25" t="inlineStr">
        <is>
          <t>Endra DB pr vf. sau grunna prisendring på dyr</t>
        </is>
      </c>
      <c r="B110" s="26" t="inlineStr">
        <is>
          <t>Utrekna</t>
        </is>
      </c>
      <c r="C110" s="39">
        <f>ROUND(IF((C7)=0,0,(C71)/(C7)),0)</f>
        <v/>
      </c>
      <c r="D110" s="28" t="inlineStr">
        <is>
          <t>kr</t>
        </is>
      </c>
      <c r="E110" s="29" t="inlineStr">
        <is>
          <t>Endra DB pr vf. sau grunna prisendring på dyr = AVRUND(Endring i buskapsverdi grunna prisendring [C71] ÷ Tal vinterfôra sau [C7]; 0)   (Positivt tal = auka DB fordi verdien pr dyr har gått opp)</t>
        </is>
      </c>
      <c r="F110" s="30" t="inlineStr">
        <is>
          <t>=ROUND(IF((C7)=0,0,(C71)/(C7)),0)</t>
        </is>
      </c>
    </row>
  </sheetData>
  <pageMargins left="0.75" right="0.75" top="1" bottom="1" header="0.5" footer="0.5"/>
  <pageSetup orientation="landscape" fitToHeight="0" fitToWidth="1"/>
</worksheet>
</file>

<file path=xl/worksheets/sheet23.xml><?xml version="1.0" encoding="utf-8"?>
<worksheet xmlns="http://schemas.openxmlformats.org/spreadsheetml/2006/main">
  <sheetPr>
    <outlinePr summaryBelow="1" summaryRight="1"/>
    <pageSetUpPr fitToPage="1"/>
  </sheetPr>
  <dimension ref="A1:F9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0" customWidth="1" min="1" max="1"/>
    <col width="34" customWidth="1" min="2" max="2"/>
    <col width="16" customWidth="1" min="3" max="3"/>
    <col width="10" customWidth="1" min="4" max="4"/>
    <col width="78" customWidth="1" min="5" max="5"/>
    <col width="46" customWidth="1" min="6" max="6"/>
  </cols>
  <sheetData>
    <row r="1" ht="22" customHeight="1">
      <c r="A1" s="1" t="inlineStr">
        <is>
          <t>Mjølkegeit  –  driftsgrein 6400-6419</t>
        </is>
      </c>
    </row>
    <row r="2">
      <c r="A2" s="7" t="inlineStr">
        <is>
          <t>Mjølkegeit (driftsgrein 6400–6419).</t>
        </is>
      </c>
    </row>
    <row r="3">
      <c r="A3" s="8" t="inlineStr">
        <is>
          <t>Fargekodar:  blå tal på gul botn = input (skal fyllast inn)   ·   svart = formel   ·   grøn = lenkje frå anna ark.   Alle kronebeløp er positive (inntekt og kostnad).</t>
        </is>
      </c>
    </row>
    <row r="5">
      <c r="A5" s="17" t="inlineStr">
        <is>
          <t>Post</t>
        </is>
      </c>
      <c r="B5" s="17" t="inlineStr">
        <is>
          <t>Kjelde / Tripletex-konto</t>
        </is>
      </c>
      <c r="C5" s="17" t="inlineStr">
        <is>
          <t>Verdi</t>
        </is>
      </c>
      <c r="D5" s="17" t="inlineStr">
        <is>
          <t>Eining</t>
        </is>
      </c>
      <c r="E5" s="17" t="inlineStr">
        <is>
          <t>Formel forklart (korleis outputen blir rekna)</t>
        </is>
      </c>
      <c r="F5" s="17" t="inlineStr">
        <is>
          <t>Excel-formel</t>
        </is>
      </c>
    </row>
    <row r="6">
      <c r="A6" s="18" t="inlineStr">
        <is>
          <t>1. INPUT – Produksjonsdata (frå produksjonstabell / teljingar)</t>
        </is>
      </c>
      <c r="B6" s="19" t="n"/>
      <c r="C6" s="19" t="n"/>
      <c r="D6" s="19" t="n"/>
      <c r="E6" s="19" t="n"/>
      <c r="F6" s="19" t="n"/>
    </row>
    <row r="7">
      <c r="A7" s="20" t="inlineStr">
        <is>
          <t>Tal årsgeiter</t>
        </is>
      </c>
      <c r="B7" s="24" t="inlineStr">
        <is>
          <t>Produksjonstabell (EnhetAntall)</t>
        </is>
      </c>
      <c r="C7" s="31" t="n">
        <v>60</v>
      </c>
      <c r="D7" s="12" t="inlineStr">
        <is>
          <t>stk</t>
        </is>
      </c>
      <c r="E7" s="24" t="inlineStr">
        <is>
          <t>Input. Hentast frå: Produksjonstabell (EnhetAntall).</t>
        </is>
      </c>
      <c r="F7" s="32" t="n"/>
    </row>
    <row r="8">
      <c r="A8" s="20" t="inlineStr">
        <is>
          <t>Levert mjølk</t>
        </is>
      </c>
      <c r="B8" s="24" t="inlineStr">
        <is>
          <t>Mengde 1 på konto 3075</t>
        </is>
      </c>
      <c r="C8" s="31" t="n">
        <v>48000</v>
      </c>
      <c r="D8" s="12" t="inlineStr">
        <is>
          <t>liter</t>
        </is>
      </c>
      <c r="E8" s="24" t="inlineStr">
        <is>
          <t>Input. Hentast frå: Mengde 1 på konto 3075.</t>
        </is>
      </c>
      <c r="F8" s="32" t="n"/>
    </row>
    <row r="9">
      <c r="A9" s="20" t="inlineStr">
        <is>
          <t>Disponibel mjølkekvote</t>
        </is>
      </c>
      <c r="B9" s="24" t="inlineStr">
        <is>
          <t>Kvoteoversikt</t>
        </is>
      </c>
      <c r="C9" s="31" t="n">
        <v>50000</v>
      </c>
      <c r="D9" s="12" t="inlineStr">
        <is>
          <t>liter</t>
        </is>
      </c>
      <c r="E9" s="24" t="inlineStr">
        <is>
          <t>Input. Hentast frå: Kvoteoversikt.</t>
        </is>
      </c>
      <c r="F9" s="32" t="n"/>
    </row>
    <row r="10">
      <c r="A10" s="20" t="inlineStr">
        <is>
          <t>Geiter frå inngåande balanse pr 1.1.</t>
        </is>
      </c>
      <c r="B10" s="24" t="inlineStr">
        <is>
          <t>1455.20.551 (IB)</t>
        </is>
      </c>
      <c r="C10" s="31" t="n">
        <v>55</v>
      </c>
      <c r="D10" s="12" t="inlineStr">
        <is>
          <t>stk</t>
        </is>
      </c>
      <c r="E10" s="24" t="inlineStr">
        <is>
          <t>Input. Hentast frå: 1455.20.551 (IB).</t>
        </is>
      </c>
      <c r="F10" s="32" t="n"/>
    </row>
    <row r="11">
      <c r="A11" s="20" t="inlineStr">
        <is>
          <t>Geiter tilført i året pr 1.1.</t>
        </is>
      </c>
      <c r="B11" s="24" t="inlineStr">
        <is>
          <t>1455.20.552 (IB)</t>
        </is>
      </c>
      <c r="C11" s="31" t="n">
        <v>8</v>
      </c>
      <c r="D11" s="12" t="inlineStr">
        <is>
          <t>stk</t>
        </is>
      </c>
      <c r="E11" s="24" t="inlineStr">
        <is>
          <t>Input. Hentast frå: 1455.20.552 (IB).</t>
        </is>
      </c>
      <c r="F11" s="32" t="n"/>
    </row>
    <row r="12">
      <c r="A12" s="20" t="inlineStr">
        <is>
          <t>Geiter frå inngåande balanse pr 31.12.</t>
        </is>
      </c>
      <c r="B12" s="24" t="inlineStr">
        <is>
          <t>1455.20.551 (UB)</t>
        </is>
      </c>
      <c r="C12" s="31" t="n">
        <v>54</v>
      </c>
      <c r="D12" s="12" t="inlineStr">
        <is>
          <t>stk</t>
        </is>
      </c>
      <c r="E12" s="24" t="inlineStr">
        <is>
          <t>Input. Hentast frå: 1455.20.551 (UB).</t>
        </is>
      </c>
      <c r="F12" s="32" t="n"/>
    </row>
    <row r="13">
      <c r="A13" s="20" t="inlineStr">
        <is>
          <t>Geiter tilført i året pr 31.12.</t>
        </is>
      </c>
      <c r="B13" s="24" t="inlineStr">
        <is>
          <t>1455.20.552 (UB)</t>
        </is>
      </c>
      <c r="C13" s="31" t="n">
        <v>9</v>
      </c>
      <c r="D13" s="12" t="inlineStr">
        <is>
          <t>stk</t>
        </is>
      </c>
      <c r="E13" s="24" t="inlineStr">
        <is>
          <t>Input. Hentast frå: 1455.20.552 (UB).</t>
        </is>
      </c>
      <c r="F13" s="32" t="n"/>
    </row>
    <row r="14">
      <c r="A14" s="20" t="inlineStr">
        <is>
          <t>Fôrnorm beite (FEm)</t>
        </is>
      </c>
      <c r="B14" s="24" t="inlineStr">
        <is>
          <t>Fôrnorm pr geit og år (jf. marginalanalysen). Brukt til arealbehov og fordelingsnøklar</t>
        </is>
      </c>
      <c r="C14" s="31" t="n">
        <v>250</v>
      </c>
      <c r="D14" s="12" t="inlineStr">
        <is>
          <t>FEm</t>
        </is>
      </c>
      <c r="E14" s="24" t="inlineStr">
        <is>
          <t>Input. Hentast frå: Fôrnorm pr geit og år (jf. marginalanalysen). Brukt til arealbehov og fordelingsnøklar.</t>
        </is>
      </c>
      <c r="F14" s="32" t="n"/>
    </row>
    <row r="15">
      <c r="A15" s="20" t="inlineStr">
        <is>
          <t>Fôrnorm eige grovfôr vinter (FEm)</t>
        </is>
      </c>
      <c r="B15" s="24" t="inlineStr">
        <is>
          <t>Fôrnorm pr geit og år (jf. marginalanalysen). Brukt til arealbehov og fordelingsnøklar</t>
        </is>
      </c>
      <c r="C15" s="31" t="n">
        <v>350</v>
      </c>
      <c r="D15" s="12" t="inlineStr">
        <is>
          <t>FEm</t>
        </is>
      </c>
      <c r="E15" s="24" t="inlineStr">
        <is>
          <t>Input. Hentast frå: Fôrnorm pr geit og år (jf. marginalanalysen). Brukt til arealbehov og fordelingsnøklar.</t>
        </is>
      </c>
      <c r="F15" s="32" t="n"/>
    </row>
    <row r="16">
      <c r="A16" s="20" t="inlineStr">
        <is>
          <t>Fôrnorm kraftfôr (FEm)</t>
        </is>
      </c>
      <c r="B16" s="24" t="inlineStr">
        <is>
          <t>Fôrnorm pr geit og år (jf. marginalanalysen). Brukt til arealbehov og fordelingsnøklar</t>
        </is>
      </c>
      <c r="C16" s="31" t="n">
        <v>250</v>
      </c>
      <c r="D16" s="12" t="inlineStr">
        <is>
          <t>FEm</t>
        </is>
      </c>
      <c r="E16" s="24" t="inlineStr">
        <is>
          <t>Input. Hentast frå: Fôrnorm pr geit og år (jf. marginalanalysen). Brukt til arealbehov og fordelingsnøklar.</t>
        </is>
      </c>
      <c r="F16" s="32" t="n"/>
    </row>
    <row r="17">
      <c r="A17" s="18" t="inlineStr">
        <is>
          <t>2. INPUT – Rekneskapstal (kr) frå saldobalansen etter korrigeringar</t>
        </is>
      </c>
      <c r="B17" s="19" t="n"/>
      <c r="C17" s="19" t="n"/>
      <c r="D17" s="19" t="n"/>
      <c r="E17" s="19" t="n"/>
      <c r="F17" s="19" t="n"/>
    </row>
    <row r="18">
      <c r="A18" s="20" t="inlineStr">
        <is>
          <t>Produksjonstilskot fordelt på produksjonen</t>
        </is>
      </c>
      <c r="B18" s="24" t="inlineStr">
        <is>
          <t>34xx (ikkje 344x avløysartilskot)</t>
        </is>
      </c>
      <c r="C18" s="31" t="n">
        <v>380000</v>
      </c>
      <c r="D18" s="12" t="inlineStr">
        <is>
          <t>kr</t>
        </is>
      </c>
      <c r="E18" s="24" t="inlineStr">
        <is>
          <t>Input. Hentast frå: 34xx (ikkje 344x avløysartilskot).</t>
        </is>
      </c>
      <c r="F18" s="32" t="n"/>
    </row>
    <row r="19">
      <c r="A19" s="20" t="inlineStr">
        <is>
          <t>Mjølk</t>
        </is>
      </c>
      <c r="B19" s="24" t="inlineStr">
        <is>
          <t>3075, 3079, 3163/3173 (.482)</t>
        </is>
      </c>
      <c r="C19" s="31" t="n">
        <v>420000</v>
      </c>
      <c r="D19" s="12" t="inlineStr">
        <is>
          <t>kr</t>
        </is>
      </c>
      <c r="E19" s="24" t="inlineStr">
        <is>
          <t>Input. Hentast frå: 3075, 3079, 3163/3173 (.482).</t>
        </is>
      </c>
      <c r="F19" s="32" t="n"/>
    </row>
    <row r="20">
      <c r="A20" s="20" t="inlineStr">
        <is>
          <t>Slakt</t>
        </is>
      </c>
      <c r="B20" s="24" t="inlineStr">
        <is>
          <t>3040-3049, 3162, 3172, 3078</t>
        </is>
      </c>
      <c r="C20" s="31" t="n">
        <v>15000</v>
      </c>
      <c r="D20" s="12" t="inlineStr">
        <is>
          <t>kr</t>
        </is>
      </c>
      <c r="E20" s="24" t="inlineStr">
        <is>
          <t>Input. Hentast frå: 3040-3049, 3162, 3172, 3078.</t>
        </is>
      </c>
      <c r="F20" s="32" t="n"/>
    </row>
    <row r="21">
      <c r="A21" s="20" t="inlineStr">
        <is>
          <t>Livdyrsal</t>
        </is>
      </c>
      <c r="B21" s="24" t="inlineStr">
        <is>
          <t>3050-3059</t>
        </is>
      </c>
      <c r="C21" s="31" t="n">
        <v>10000</v>
      </c>
      <c r="D21" s="12" t="inlineStr">
        <is>
          <t>kr</t>
        </is>
      </c>
      <c r="E21" s="24" t="inlineStr">
        <is>
          <t>Input. Hentast frå: 3050-3059.</t>
        </is>
      </c>
      <c r="F21" s="32" t="n"/>
    </row>
    <row r="22">
      <c r="A22" s="20" t="inlineStr">
        <is>
          <t>Buskap, beholdningsendring (+ = auke)</t>
        </is>
      </c>
      <c r="B22" s="24" t="inlineStr">
        <is>
          <t>4690-4698 (forteikn snudd)</t>
        </is>
      </c>
      <c r="C22" s="31" t="n">
        <v>0</v>
      </c>
      <c r="D22" s="12" t="inlineStr">
        <is>
          <t>kr</t>
        </is>
      </c>
      <c r="E22" s="24" t="inlineStr">
        <is>
          <t>Input. Hentast frå: 4690-4698 (forteikn snudd).</t>
        </is>
      </c>
      <c r="F22" s="32" t="n"/>
    </row>
    <row r="23">
      <c r="A23" s="20" t="inlineStr">
        <is>
          <t>Andre inntekter</t>
        </is>
      </c>
      <c r="B23" s="24" t="inlineStr">
        <is>
          <t>andre 3xxx kopla til produksjonen</t>
        </is>
      </c>
      <c r="C23" s="31" t="n">
        <v>0</v>
      </c>
      <c r="D23" s="12" t="inlineStr">
        <is>
          <t>kr</t>
        </is>
      </c>
      <c r="E23" s="24" t="inlineStr">
        <is>
          <t>Input. Hentast frå: andre 3xxx kopla til produksjonen.</t>
        </is>
      </c>
      <c r="F23" s="32" t="n"/>
    </row>
    <row r="24">
      <c r="A24" s="20" t="inlineStr">
        <is>
          <t>Herav distriktstilskot mjølk</t>
        </is>
      </c>
      <c r="B24" s="24" t="inlineStr">
        <is>
          <t>Del av mjølkeinntekta (avrekning)</t>
        </is>
      </c>
      <c r="C24" s="31" t="n">
        <v>0</v>
      </c>
      <c r="D24" s="12" t="inlineStr">
        <is>
          <t>kr</t>
        </is>
      </c>
      <c r="E24" s="24" t="inlineStr">
        <is>
          <t>Input. Hentast frå: Del av mjølkeinntekta (avrekning). Er med i beløpet over, brukt berre til prisutrekning.</t>
        </is>
      </c>
      <c r="F24" s="32" t="n"/>
    </row>
    <row r="25">
      <c r="A25" s="18" t="inlineStr">
        <is>
          <t>Variable kostnader – eigen grovfôrproduksjon</t>
        </is>
      </c>
      <c r="B25" s="19" t="n"/>
      <c r="C25" s="19" t="n"/>
      <c r="D25" s="19" t="n"/>
      <c r="E25" s="19" t="n"/>
      <c r="F25" s="19" t="n"/>
    </row>
    <row r="26">
      <c r="A26" s="20" t="inlineStr">
        <is>
          <t>Såfrø / grasfrø</t>
        </is>
      </c>
      <c r="B26" s="24" t="inlineStr">
        <is>
          <t>4001</t>
        </is>
      </c>
      <c r="C26" s="31" t="n">
        <v>5000</v>
      </c>
      <c r="D26" s="12" t="inlineStr">
        <is>
          <t>kr</t>
        </is>
      </c>
      <c r="E26" s="24" t="inlineStr">
        <is>
          <t>Input. Hentast frå: 4001.</t>
        </is>
      </c>
      <c r="F26" s="32" t="n"/>
    </row>
    <row r="27">
      <c r="A27" s="20" t="inlineStr">
        <is>
          <t>Plantevernmiddel</t>
        </is>
      </c>
      <c r="B27" s="24" t="inlineStr">
        <is>
          <t>4110, 4191</t>
        </is>
      </c>
      <c r="C27" s="31" t="n">
        <v>1000</v>
      </c>
      <c r="D27" s="12" t="inlineStr">
        <is>
          <t>kr</t>
        </is>
      </c>
      <c r="E27" s="24" t="inlineStr">
        <is>
          <t>Input. Hentast frå: 4110, 4191.</t>
        </is>
      </c>
      <c r="F27" s="32" t="n"/>
    </row>
    <row r="28">
      <c r="A28" s="20" t="inlineStr">
        <is>
          <t>Rundballeplast mm.</t>
        </is>
      </c>
      <c r="B28" s="24" t="inlineStr">
        <is>
          <t>4140, 4194</t>
        </is>
      </c>
      <c r="C28" s="31" t="n">
        <v>10000</v>
      </c>
      <c r="D28" s="12" t="inlineStr">
        <is>
          <t>kr</t>
        </is>
      </c>
      <c r="E28" s="24" t="inlineStr">
        <is>
          <t>Input. Hentast frå: 4140, 4194.</t>
        </is>
      </c>
      <c r="F28" s="32" t="n"/>
    </row>
    <row r="29">
      <c r="A29" s="20" t="inlineStr">
        <is>
          <t>Handelsgjødsel</t>
        </is>
      </c>
      <c r="B29" s="24" t="inlineStr">
        <is>
          <t>4050, 4095</t>
        </is>
      </c>
      <c r="C29" s="31" t="n">
        <v>25000</v>
      </c>
      <c r="D29" s="12" t="inlineStr">
        <is>
          <t>kr</t>
        </is>
      </c>
      <c r="E29" s="24" t="inlineStr">
        <is>
          <t>Input. Hentast frå: 4050, 4095.</t>
        </is>
      </c>
      <c r="F29" s="32" t="n"/>
    </row>
    <row r="30">
      <c r="A30" s="20" t="inlineStr">
        <is>
          <t>Kalk</t>
        </is>
      </c>
      <c r="B30" s="24" t="inlineStr">
        <is>
          <t>4057</t>
        </is>
      </c>
      <c r="C30" s="31" t="n">
        <v>3000</v>
      </c>
      <c r="D30" s="12" t="inlineStr">
        <is>
          <t>kr</t>
        </is>
      </c>
      <c r="E30" s="24" t="inlineStr">
        <is>
          <t>Input. Hentast frå: 4057.</t>
        </is>
      </c>
      <c r="F30" s="32" t="n"/>
    </row>
    <row r="31">
      <c r="A31" s="20" t="inlineStr">
        <is>
          <t>Konserveringsmiddel</t>
        </is>
      </c>
      <c r="B31" s="24" t="inlineStr">
        <is>
          <t>4080, 4098</t>
        </is>
      </c>
      <c r="C31" s="31" t="n">
        <v>4000</v>
      </c>
      <c r="D31" s="12" t="inlineStr">
        <is>
          <t>kr</t>
        </is>
      </c>
      <c r="E31" s="24" t="inlineStr">
        <is>
          <t>Input. Hentast frå: 4080, 4098.</t>
        </is>
      </c>
      <c r="F31" s="32" t="n"/>
    </row>
    <row r="32">
      <c r="A32" s="20" t="inlineStr">
        <is>
          <t>Endring anna varelager (variable kostn.)</t>
        </is>
      </c>
      <c r="B32" s="24" t="inlineStr">
        <is>
          <t>4090</t>
        </is>
      </c>
      <c r="C32" s="31" t="n">
        <v>0</v>
      </c>
      <c r="D32" s="12" t="inlineStr">
        <is>
          <t>kr</t>
        </is>
      </c>
      <c r="E32" s="24" t="inlineStr">
        <is>
          <t>Input. Hentast frå: 4090.</t>
        </is>
      </c>
      <c r="F32" s="32" t="n"/>
    </row>
    <row r="33">
      <c r="A33" s="20" t="inlineStr">
        <is>
          <t>Endring eigenprodusert grovfôr (+ = nedgang i lager)</t>
        </is>
      </c>
      <c r="B33" s="24" t="inlineStr">
        <is>
          <t>4297</t>
        </is>
      </c>
      <c r="C33" s="31" t="n">
        <v>0</v>
      </c>
      <c r="D33" s="12" t="inlineStr">
        <is>
          <t>kr</t>
        </is>
      </c>
      <c r="E33" s="24" t="inlineStr">
        <is>
          <t>Input. Hentast frå: 4297.</t>
        </is>
      </c>
      <c r="F33" s="32" t="n"/>
    </row>
    <row r="34">
      <c r="A34" s="18" t="inlineStr">
        <is>
          <t>Variable kostnader – anna</t>
        </is>
      </c>
      <c r="B34" s="19" t="n"/>
      <c r="C34" s="19" t="n"/>
      <c r="D34" s="19" t="n"/>
      <c r="E34" s="19" t="n"/>
      <c r="F34" s="19" t="n"/>
    </row>
    <row r="35">
      <c r="A35" s="20" t="inlineStr">
        <is>
          <t>Kjøp grovfôr</t>
        </is>
      </c>
      <c r="B35" s="24" t="inlineStr">
        <is>
          <t>4030</t>
        </is>
      </c>
      <c r="C35" s="31" t="n">
        <v>15000</v>
      </c>
      <c r="D35" s="12" t="inlineStr">
        <is>
          <t>kr</t>
        </is>
      </c>
      <c r="E35" s="24" t="inlineStr">
        <is>
          <t>Input. Hentast frå: 4030.</t>
        </is>
      </c>
      <c r="F35" s="32" t="n"/>
    </row>
    <row r="36">
      <c r="A36" s="20" t="inlineStr">
        <is>
          <t>Beiteleige / dyr på beite</t>
        </is>
      </c>
      <c r="B36" s="24" t="inlineStr">
        <is>
          <t>4031</t>
        </is>
      </c>
      <c r="C36" s="31" t="n">
        <v>0</v>
      </c>
      <c r="D36" s="12" t="inlineStr">
        <is>
          <t>kr</t>
        </is>
      </c>
      <c r="E36" s="24" t="inlineStr">
        <is>
          <t>Input. Hentast frå: 4031.</t>
        </is>
      </c>
      <c r="F36" s="32" t="n"/>
    </row>
    <row r="37">
      <c r="A37" s="20" t="inlineStr">
        <is>
          <t>Endring innkjøpt grovfôrlager</t>
        </is>
      </c>
      <c r="B37" s="24" t="inlineStr">
        <is>
          <t>4093</t>
        </is>
      </c>
      <c r="C37" s="31" t="n">
        <v>0</v>
      </c>
      <c r="D37" s="12" t="inlineStr">
        <is>
          <t>kr</t>
        </is>
      </c>
      <c r="E37" s="24" t="inlineStr">
        <is>
          <t>Input. Hentast frå: 4093.</t>
        </is>
      </c>
      <c r="F37" s="32" t="n"/>
    </row>
    <row r="38">
      <c r="A38" s="20" t="inlineStr">
        <is>
          <t>Kraftfôr mm.</t>
        </is>
      </c>
      <c r="B38" s="24" t="inlineStr">
        <is>
          <t>4020-4029, 4040-4049, 4092, 4094</t>
        </is>
      </c>
      <c r="C38" s="31" t="n">
        <v>110000</v>
      </c>
      <c r="D38" s="12" t="inlineStr">
        <is>
          <t>kr</t>
        </is>
      </c>
      <c r="E38" s="24" t="inlineStr">
        <is>
          <t>Input. Hentast frå: 4020-4029, 4040-4049, 4092, 4094.</t>
        </is>
      </c>
      <c r="F38" s="32" t="n"/>
    </row>
    <row r="39">
      <c r="A39" s="20" t="inlineStr">
        <is>
          <t>Veterinær, medisin, semin mm.</t>
        </is>
      </c>
      <c r="B39" s="24" t="inlineStr">
        <is>
          <t>4120, 4192, 4520-4529</t>
        </is>
      </c>
      <c r="C39" s="31" t="n">
        <v>18000</v>
      </c>
      <c r="D39" s="12" t="inlineStr">
        <is>
          <t>kr</t>
        </is>
      </c>
      <c r="E39" s="24" t="inlineStr">
        <is>
          <t>Input. Hentast frå: 4120, 4192, 4520-4529.</t>
        </is>
      </c>
      <c r="F39" s="32" t="n"/>
    </row>
    <row r="40">
      <c r="A40" s="20" t="inlineStr">
        <is>
          <t>Innkjøp dyr</t>
        </is>
      </c>
      <c r="B40" s="24" t="inlineStr">
        <is>
          <t>4600-4689</t>
        </is>
      </c>
      <c r="C40" s="31" t="n">
        <v>0</v>
      </c>
      <c r="D40" s="12" t="inlineStr">
        <is>
          <t>kr</t>
        </is>
      </c>
      <c r="E40" s="24" t="inlineStr">
        <is>
          <t>Input. Hentast frå: 4600-4689.</t>
        </is>
      </c>
      <c r="F40" s="32" t="n"/>
    </row>
    <row r="41">
      <c r="A41" s="20" t="inlineStr">
        <is>
          <t>Andre variable kostnader</t>
        </is>
      </c>
      <c r="B41" s="24" t="inlineStr">
        <is>
          <t>4130-4139, 4193, 4530-4549, 4560-4569 + andre 4xxx</t>
        </is>
      </c>
      <c r="C41" s="31" t="n">
        <v>40000</v>
      </c>
      <c r="D41" s="12" t="inlineStr">
        <is>
          <t>kr</t>
        </is>
      </c>
      <c r="E41" s="24" t="inlineStr">
        <is>
          <t>Input. Hentast frå: 4130-4139, 4193, 4530-4549, 4560-4569 + andre 4xxx.</t>
        </is>
      </c>
      <c r="F41" s="32" t="n"/>
    </row>
    <row r="42">
      <c r="A42" s="18" t="inlineStr">
        <is>
          <t>3. INPUT – Fordelte faste kostnader (lenka frå arket «Faste kostnader»)</t>
        </is>
      </c>
      <c r="B42" s="19" t="n"/>
      <c r="C42" s="19" t="n"/>
      <c r="D42" s="19" t="n"/>
      <c r="E42" s="19" t="n"/>
      <c r="F42" s="19" t="n"/>
    </row>
    <row r="43">
      <c r="A43" s="20" t="inlineStr">
        <is>
          <t>Maskinkostnader fordelt</t>
        </is>
      </c>
      <c r="B43" s="21" t="inlineStr">
        <is>
          <t>Lenkje frå anna ark</t>
        </is>
      </c>
      <c r="C43" s="13">
        <f>'Faste kostnader'!C54</f>
        <v/>
      </c>
      <c r="D43" s="12" t="inlineStr">
        <is>
          <t>kr</t>
        </is>
      </c>
      <c r="E43" s="23" t="inlineStr">
        <is>
          <t>Maskinkostnader fordelt = Maskinkostnader – Geit [Faste kostnader!C54]</t>
        </is>
      </c>
      <c r="F43" s="24" t="inlineStr">
        <is>
          <t>='Faste kostnader'!C54</t>
        </is>
      </c>
    </row>
    <row r="44">
      <c r="A44" s="20" t="inlineStr">
        <is>
          <t>Innandørsmekanisering fordelt</t>
        </is>
      </c>
      <c r="B44" s="21" t="inlineStr">
        <is>
          <t>Lenkje frå anna ark</t>
        </is>
      </c>
      <c r="C44" s="13">
        <f>'Faste kostnader'!C85</f>
        <v/>
      </c>
      <c r="D44" s="12" t="inlineStr">
        <is>
          <t>kr</t>
        </is>
      </c>
      <c r="E44" s="23" t="inlineStr">
        <is>
          <t>Innandørsmekanisering fordelt = Innandørsmekanisering – Geit [Faste kostnader!C85]</t>
        </is>
      </c>
      <c r="F44" s="24" t="inlineStr">
        <is>
          <t>='Faste kostnader'!C85</t>
        </is>
      </c>
    </row>
    <row r="45">
      <c r="A45" s="18" t="inlineStr">
        <is>
          <t>4. UTREKNING – Totalt for produksjonen</t>
        </is>
      </c>
      <c r="B45" s="19" t="n"/>
      <c r="C45" s="19" t="n"/>
      <c r="D45" s="19" t="n"/>
      <c r="E45" s="19" t="n"/>
      <c r="F45" s="19" t="n"/>
    </row>
    <row r="46">
      <c r="A46" s="20" t="inlineStr">
        <is>
          <t>Produksjonsinntekter i alt</t>
        </is>
      </c>
      <c r="B46" s="21" t="inlineStr">
        <is>
          <t>Utrekna</t>
        </is>
      </c>
      <c r="C46" s="22">
        <f>C19+C20+C21+C22+C23</f>
        <v/>
      </c>
      <c r="D46" s="12" t="inlineStr">
        <is>
          <t>kr</t>
        </is>
      </c>
      <c r="E46" s="23" t="inlineStr">
        <is>
          <t>Produksjonsinntekter i alt = Mjølk [C19] + Slakt [C20] + Livdyrsal [C21] + Buskap, beholdningsendring (+ = auke) [C22] + Andre inntekter [C23]</t>
        </is>
      </c>
      <c r="F46" s="24" t="inlineStr">
        <is>
          <t>=C19+C20+C21+C22+C23</t>
        </is>
      </c>
    </row>
    <row r="47">
      <c r="A47" s="20" t="inlineStr">
        <is>
          <t>Eigen grovfôr – sum variable kostnader</t>
        </is>
      </c>
      <c r="B47" s="21" t="inlineStr">
        <is>
          <t>Utrekna</t>
        </is>
      </c>
      <c r="C47" s="22">
        <f>C26+C27+C28+C29+C30+C31+C32+C33</f>
        <v/>
      </c>
      <c r="D47" s="12" t="inlineStr">
        <is>
          <t>kr</t>
        </is>
      </c>
      <c r="E47" s="23" t="inlineStr">
        <is>
          <t>Eigen grovfôr – sum variable kostnader = Såfrø / grasfrø [C26] + Plantevernmiddel [C27] + Rundballeplast mm. [C28] + Handelsgjødsel [C29] + Kalk [C30] + Konserveringsmiddel [C31] + Endring anna varelager (variable kostn.) [C32] + Endring eigenprodusert grovfôr (+ = nedgang i lager) [C33]</t>
        </is>
      </c>
      <c r="F47" s="24" t="inlineStr">
        <is>
          <t>=C26+C27+C28+C29+C30+C31+C32+C33</t>
        </is>
      </c>
    </row>
    <row r="48">
      <c r="A48" s="20" t="inlineStr">
        <is>
          <t>Variabel grovfôrkostnad (utan plast og lagerendring eigenprodusert)</t>
        </is>
      </c>
      <c r="B48" s="21" t="inlineStr">
        <is>
          <t>Utrekna</t>
        </is>
      </c>
      <c r="C48" s="22">
        <f>C26+C27+C29+C30+C31+C32</f>
        <v/>
      </c>
      <c r="D48" s="12" t="inlineStr">
        <is>
          <t>kr</t>
        </is>
      </c>
      <c r="E48" s="23" t="inlineStr">
        <is>
          <t>Variabel grovfôrkostnad (utan plast og lagerendring eigenprodusert) = Såfrø / grasfrø [C26] + Plantevernmiddel [C27] + Handelsgjødsel [C29] + Kalk [C30] + Konserveringsmiddel [C31] + Endring anna varelager (variable kostn.) [C32]   (Brukt i «Variabel grovfôrkostnad pr dekar» – same utval som eksempelanalysen)</t>
        </is>
      </c>
      <c r="F48" s="24" t="inlineStr">
        <is>
          <t>=C26+C27+C29+C30+C31+C32</t>
        </is>
      </c>
    </row>
    <row r="49">
      <c r="A49" s="20" t="inlineStr">
        <is>
          <t>Sum eigen grovfôrproduksjon (utan lagerendring)</t>
        </is>
      </c>
      <c r="B49" s="21" t="inlineStr">
        <is>
          <t>Utrekna</t>
        </is>
      </c>
      <c r="C49" s="22">
        <f>C47-C33</f>
        <v/>
      </c>
      <c r="D49" s="12" t="inlineStr">
        <is>
          <t>kr</t>
        </is>
      </c>
      <c r="E49" s="23" t="inlineStr">
        <is>
          <t>Sum eigen grovfôrproduksjon (utan lagerendring) = Eigen grovfôr – sum variable kostnader [C47] − Endring eigenprodusert grovfôr (+ = nedgang i lager) [C33]   (Brukt til å fordele grovfôrarealet mellom produksjonane)</t>
        </is>
      </c>
      <c r="F49" s="24" t="inlineStr">
        <is>
          <t>=C47-C33</t>
        </is>
      </c>
    </row>
    <row r="50">
      <c r="A50" s="20" t="inlineStr">
        <is>
          <t>Grovfôr – kostnad i alt</t>
        </is>
      </c>
      <c r="B50" s="21" t="inlineStr">
        <is>
          <t>Utrekna</t>
        </is>
      </c>
      <c r="C50" s="22">
        <f>C47+C35+C37</f>
        <v/>
      </c>
      <c r="D50" s="12" t="inlineStr">
        <is>
          <t>kr</t>
        </is>
      </c>
      <c r="E50" s="23" t="inlineStr">
        <is>
          <t>Grovfôr – kostnad i alt = Eigen grovfôr – sum variable kostnader [C47] + Kjøp grovfôr [C35] + Endring innkjøpt grovfôrlager [C37]</t>
        </is>
      </c>
      <c r="F50" s="24" t="inlineStr">
        <is>
          <t>=C47+C35+C37</t>
        </is>
      </c>
    </row>
    <row r="51">
      <c r="A51" s="20" t="inlineStr">
        <is>
          <t>Variable kostnader i alt</t>
        </is>
      </c>
      <c r="B51" s="21" t="inlineStr">
        <is>
          <t>Utrekna</t>
        </is>
      </c>
      <c r="C51" s="22">
        <f>C50+C36+C38+C39+C40+C41</f>
        <v/>
      </c>
      <c r="D51" s="12" t="inlineStr">
        <is>
          <t>kr</t>
        </is>
      </c>
      <c r="E51" s="23" t="inlineStr">
        <is>
          <t>Variable kostnader i alt = Grovfôr – kostnad i alt [C50] + Beiteleige / dyr på beite [C36] + Kraftfôr mm. [C38] + Veterinær, medisin, semin mm. [C39] + Innkjøp dyr [C40] + Andre variable kostnader [C41]</t>
        </is>
      </c>
      <c r="F51" s="24" t="inlineStr">
        <is>
          <t>=C50+C36+C38+C39+C40+C41</t>
        </is>
      </c>
    </row>
    <row r="52">
      <c r="A52" s="25" t="inlineStr">
        <is>
          <t>Dekningsbidrag (DB) utan tilskot</t>
        </is>
      </c>
      <c r="B52" s="26" t="inlineStr">
        <is>
          <t>Utrekna</t>
        </is>
      </c>
      <c r="C52" s="27">
        <f>C46-C51</f>
        <v/>
      </c>
      <c r="D52" s="28" t="inlineStr">
        <is>
          <t>kr</t>
        </is>
      </c>
      <c r="E52" s="29" t="inlineStr">
        <is>
          <t>Dekningsbidrag (DB) utan tilskot = Produksjonsinntekter i alt [C46] − Variable kostnader i alt [C51]</t>
        </is>
      </c>
      <c r="F52" s="30" t="inlineStr">
        <is>
          <t>=C46-C51</t>
        </is>
      </c>
    </row>
    <row r="53">
      <c r="A53" s="25" t="inlineStr">
        <is>
          <t>Dekningsbidrag (DB) med tilskot</t>
        </is>
      </c>
      <c r="B53" s="26" t="inlineStr">
        <is>
          <t>Utrekna</t>
        </is>
      </c>
      <c r="C53" s="27">
        <f>C52+C18</f>
        <v/>
      </c>
      <c r="D53" s="28" t="inlineStr">
        <is>
          <t>kr</t>
        </is>
      </c>
      <c r="E53" s="29" t="inlineStr">
        <is>
          <t>Dekningsbidrag (DB) med tilskot = Dekningsbidrag (DB) utan tilskot [C52] + Produksjonstilskot fordelt på produksjonen [C18]</t>
        </is>
      </c>
      <c r="F53" s="30" t="inlineStr">
        <is>
          <t>=C52+C18</t>
        </is>
      </c>
    </row>
    <row r="54">
      <c r="A54" s="20" t="inlineStr">
        <is>
          <t>DB m/tilskot etter maskin- og innandørskostnad</t>
        </is>
      </c>
      <c r="B54" s="21" t="inlineStr">
        <is>
          <t>Utrekna</t>
        </is>
      </c>
      <c r="C54" s="22">
        <f>C53-C43-C44</f>
        <v/>
      </c>
      <c r="D54" s="12" t="inlineStr">
        <is>
          <t>kr</t>
        </is>
      </c>
      <c r="E54" s="23" t="inlineStr">
        <is>
          <t>DB m/tilskot etter maskin- og innandørskostnad = Dekningsbidrag (DB) med tilskot [C53] − Maskinkostnader fordelt [C43] − Innandørsmekanisering fordelt [C44]</t>
        </is>
      </c>
      <c r="F54" s="24" t="inlineStr">
        <is>
          <t>=C53-C43-C44</t>
        </is>
      </c>
    </row>
    <row r="55">
      <c r="A55" s="20" t="inlineStr">
        <is>
          <t>«Kueiningar»</t>
        </is>
      </c>
      <c r="B55" s="21" t="inlineStr">
        <is>
          <t>Utrekna</t>
        </is>
      </c>
      <c r="C55" s="38">
        <f>(C10+C11+C12+C13)/2/7</f>
        <v/>
      </c>
      <c r="D55" s="12" t="inlineStr">
        <is>
          <t>stk</t>
        </is>
      </c>
      <c r="E55" s="23" t="inlineStr">
        <is>
          <t>«Kueiningar» = (Geiter frå inngåande balanse pr 1.1. [C10] + Geiter tilført i året pr 1.1. [C11] + Geiter frå inngåande balanse pr 31.12. [C12] + Geiter tilført i året pr 31.12. [C13]) / 2 / 7   (Vekting av dyretal (snitt 1.1. og 31.12.) – sjå formel)</t>
        </is>
      </c>
      <c r="F55" s="24" t="inlineStr">
        <is>
          <t>=(C10+C11+C12+C13)/2/7</t>
        </is>
      </c>
    </row>
    <row r="56">
      <c r="A56" s="18" t="inlineStr">
        <is>
          <t>5. OUTPUT – Per eining (pr geit)</t>
        </is>
      </c>
      <c r="B56" s="19" t="n"/>
      <c r="C56" s="19" t="n"/>
      <c r="D56" s="19" t="n"/>
      <c r="E56" s="19" t="n"/>
      <c r="F56" s="19" t="n"/>
    </row>
    <row r="57">
      <c r="A57" s="18" t="inlineStr">
        <is>
          <t>Produksjonsinntekter pr geit</t>
        </is>
      </c>
      <c r="B57" s="19" t="n"/>
      <c r="C57" s="19" t="n"/>
      <c r="D57" s="19" t="n"/>
      <c r="E57" s="19" t="n"/>
      <c r="F57" s="19" t="n"/>
    </row>
    <row r="58">
      <c r="A58" s="20" t="inlineStr">
        <is>
          <t>Mjølk</t>
        </is>
      </c>
      <c r="B58" s="21" t="inlineStr">
        <is>
          <t>Utrekna</t>
        </is>
      </c>
      <c r="C58" s="38">
        <f>IF((C7)=0,0,(C19)/(C7))</f>
        <v/>
      </c>
      <c r="D58" s="12" t="inlineStr">
        <is>
          <t>kr</t>
        </is>
      </c>
      <c r="E58" s="23" t="inlineStr">
        <is>
          <t>Mjølk = Mjølk [C19] ÷ Tal årsgeiter [C7]</t>
        </is>
      </c>
      <c r="F58" s="24" t="inlineStr">
        <is>
          <t>=IF((C7)=0,0,(C19)/(C7))</t>
        </is>
      </c>
    </row>
    <row r="59">
      <c r="A59" s="20" t="inlineStr">
        <is>
          <t>Slakt</t>
        </is>
      </c>
      <c r="B59" s="21" t="inlineStr">
        <is>
          <t>Utrekna</t>
        </is>
      </c>
      <c r="C59" s="38">
        <f>IF((C7)=0,0,(C20)/(C7))</f>
        <v/>
      </c>
      <c r="D59" s="12" t="inlineStr">
        <is>
          <t>kr</t>
        </is>
      </c>
      <c r="E59" s="23" t="inlineStr">
        <is>
          <t>Slakt = Slakt [C20] ÷ Tal årsgeiter [C7]</t>
        </is>
      </c>
      <c r="F59" s="24" t="inlineStr">
        <is>
          <t>=IF((C7)=0,0,(C20)/(C7))</t>
        </is>
      </c>
    </row>
    <row r="60">
      <c r="A60" s="20" t="inlineStr">
        <is>
          <t>Livdyrsal</t>
        </is>
      </c>
      <c r="B60" s="21" t="inlineStr">
        <is>
          <t>Utrekna</t>
        </is>
      </c>
      <c r="C60" s="38">
        <f>IF((C7)=0,0,(C21)/(C7))</f>
        <v/>
      </c>
      <c r="D60" s="12" t="inlineStr">
        <is>
          <t>kr</t>
        </is>
      </c>
      <c r="E60" s="23" t="inlineStr">
        <is>
          <t>Livdyrsal = Livdyrsal [C21] ÷ Tal årsgeiter [C7]</t>
        </is>
      </c>
      <c r="F60" s="24" t="inlineStr">
        <is>
          <t>=IF((C7)=0,0,(C21)/(C7))</t>
        </is>
      </c>
    </row>
    <row r="61">
      <c r="A61" s="20" t="inlineStr">
        <is>
          <t>Buskap, beholdningsendring (+ = auke)</t>
        </is>
      </c>
      <c r="B61" s="21" t="inlineStr">
        <is>
          <t>Utrekna</t>
        </is>
      </c>
      <c r="C61" s="38">
        <f>IF((C7)=0,0,(C22)/(C7))</f>
        <v/>
      </c>
      <c r="D61" s="12" t="inlineStr">
        <is>
          <t>kr</t>
        </is>
      </c>
      <c r="E61" s="23" t="inlineStr">
        <is>
          <t>Buskap, beholdningsendring (+ = auke) = Buskap, beholdningsendring (+ = auke) [C22] ÷ Tal årsgeiter [C7]</t>
        </is>
      </c>
      <c r="F61" s="24" t="inlineStr">
        <is>
          <t>=IF((C7)=0,0,(C22)/(C7))</t>
        </is>
      </c>
    </row>
    <row r="62">
      <c r="A62" s="20" t="inlineStr">
        <is>
          <t>Andre inntekter</t>
        </is>
      </c>
      <c r="B62" s="21" t="inlineStr">
        <is>
          <t>Utrekna</t>
        </is>
      </c>
      <c r="C62" s="38">
        <f>IF((C7)=0,0,(C23)/(C7))</f>
        <v/>
      </c>
      <c r="D62" s="12" t="inlineStr">
        <is>
          <t>kr</t>
        </is>
      </c>
      <c r="E62" s="23" t="inlineStr">
        <is>
          <t>Andre inntekter = Andre inntekter [C23] ÷ Tal årsgeiter [C7]</t>
        </is>
      </c>
      <c r="F62" s="24" t="inlineStr">
        <is>
          <t>=IF((C7)=0,0,(C23)/(C7))</t>
        </is>
      </c>
    </row>
    <row r="63">
      <c r="A63" s="20" t="inlineStr">
        <is>
          <t>Produksjonsinntekter i alt</t>
        </is>
      </c>
      <c r="B63" s="21" t="inlineStr">
        <is>
          <t>Utrekna</t>
        </is>
      </c>
      <c r="C63" s="38">
        <f>IF((C7)=0,0,(C46)/(C7))</f>
        <v/>
      </c>
      <c r="D63" s="12" t="inlineStr">
        <is>
          <t>kr</t>
        </is>
      </c>
      <c r="E63" s="23" t="inlineStr">
        <is>
          <t>Produksjonsinntekter i alt = Produksjonsinntekter i alt [C46] ÷ Tal årsgeiter [C7]</t>
        </is>
      </c>
      <c r="F63" s="24" t="inlineStr">
        <is>
          <t>=IF((C7)=0,0,(C46)/(C7))</t>
        </is>
      </c>
    </row>
    <row r="64">
      <c r="A64" s="18" t="inlineStr">
        <is>
          <t>Variable kostnader pr geit</t>
        </is>
      </c>
      <c r="B64" s="19" t="n"/>
      <c r="C64" s="19" t="n"/>
      <c r="D64" s="19" t="n"/>
      <c r="E64" s="19" t="n"/>
      <c r="F64" s="19" t="n"/>
    </row>
    <row r="65">
      <c r="A65" s="20" t="inlineStr">
        <is>
          <t>Eigen grovfôrproduksjon</t>
        </is>
      </c>
      <c r="B65" s="21" t="inlineStr">
        <is>
          <t>Utrekna</t>
        </is>
      </c>
      <c r="C65" s="38">
        <f>IF((C7)=0,0,(C49)/(C7))</f>
        <v/>
      </c>
      <c r="D65" s="12" t="inlineStr">
        <is>
          <t>kr</t>
        </is>
      </c>
      <c r="E65" s="23" t="inlineStr">
        <is>
          <t>Eigen grovfôrproduksjon = Sum eigen grovfôrproduksjon (utan lagerendring) [C49] ÷ Tal årsgeiter [C7]</t>
        </is>
      </c>
      <c r="F65" s="24" t="inlineStr">
        <is>
          <t>=IF((C7)=0,0,(C49)/(C7))</t>
        </is>
      </c>
    </row>
    <row r="66">
      <c r="A66" s="20" t="inlineStr">
        <is>
          <t>Kjøpt grovfôr</t>
        </is>
      </c>
      <c r="B66" s="21" t="inlineStr">
        <is>
          <t>Utrekna</t>
        </is>
      </c>
      <c r="C66" s="38">
        <f>IF((C7)=0,0,(C35)/(C7))</f>
        <v/>
      </c>
      <c r="D66" s="12" t="inlineStr">
        <is>
          <t>kr</t>
        </is>
      </c>
      <c r="E66" s="23" t="inlineStr">
        <is>
          <t>Kjøpt grovfôr = Kjøp grovfôr [C35] ÷ Tal årsgeiter [C7]</t>
        </is>
      </c>
      <c r="F66" s="24" t="inlineStr">
        <is>
          <t>=IF((C7)=0,0,(C35)/(C7))</t>
        </is>
      </c>
    </row>
    <row r="67">
      <c r="A67" s="20" t="inlineStr">
        <is>
          <t>Varelager endring grovfôr</t>
        </is>
      </c>
      <c r="B67" s="21" t="inlineStr">
        <is>
          <t>Utrekna</t>
        </is>
      </c>
      <c r="C67" s="38">
        <f>IF((C7)=0,0,(C33+C37)/(C7))</f>
        <v/>
      </c>
      <c r="D67" s="12" t="inlineStr">
        <is>
          <t>kr</t>
        </is>
      </c>
      <c r="E67" s="23" t="inlineStr">
        <is>
          <t>Varelager endring grovfôr = (Endring eigenprodusert grovfôr (+ = nedgang i lager) [C33] + Endring innkjøpt grovfôrlager [C37]) ÷ Tal årsgeiter [C7]</t>
        </is>
      </c>
      <c r="F67" s="24" t="inlineStr">
        <is>
          <t>=IF((C7)=0,0,(C33+C37)/(C7))</t>
        </is>
      </c>
    </row>
    <row r="68">
      <c r="A68" s="20" t="inlineStr">
        <is>
          <t>Beiteleige</t>
        </is>
      </c>
      <c r="B68" s="21" t="inlineStr">
        <is>
          <t>Utrekna</t>
        </is>
      </c>
      <c r="C68" s="38">
        <f>IF((C7)=0,0,(C36)/(C7))</f>
        <v/>
      </c>
      <c r="D68" s="12" t="inlineStr">
        <is>
          <t>kr</t>
        </is>
      </c>
      <c r="E68" s="23" t="inlineStr">
        <is>
          <t>Beiteleige = Beiteleige / dyr på beite [C36] ÷ Tal årsgeiter [C7]</t>
        </is>
      </c>
      <c r="F68" s="24" t="inlineStr">
        <is>
          <t>=IF((C7)=0,0,(C36)/(C7))</t>
        </is>
      </c>
    </row>
    <row r="69">
      <c r="A69" s="20" t="inlineStr">
        <is>
          <t>Kraftfôr mm.</t>
        </is>
      </c>
      <c r="B69" s="21" t="inlineStr">
        <is>
          <t>Utrekna</t>
        </is>
      </c>
      <c r="C69" s="38">
        <f>IF((C7)=0,0,(C38)/(C7))</f>
        <v/>
      </c>
      <c r="D69" s="12" t="inlineStr">
        <is>
          <t>kr</t>
        </is>
      </c>
      <c r="E69" s="23" t="inlineStr">
        <is>
          <t>Kraftfôr mm. = Kraftfôr mm. [C38] ÷ Tal årsgeiter [C7]</t>
        </is>
      </c>
      <c r="F69" s="24" t="inlineStr">
        <is>
          <t>=IF((C7)=0,0,(C38)/(C7))</t>
        </is>
      </c>
    </row>
    <row r="70">
      <c r="A70" s="20" t="inlineStr">
        <is>
          <t>Veterinær, medisin, semin mm.</t>
        </is>
      </c>
      <c r="B70" s="21" t="inlineStr">
        <is>
          <t>Utrekna</t>
        </is>
      </c>
      <c r="C70" s="38">
        <f>IF((C7)=0,0,(C39)/(C7))</f>
        <v/>
      </c>
      <c r="D70" s="12" t="inlineStr">
        <is>
          <t>kr</t>
        </is>
      </c>
      <c r="E70" s="23" t="inlineStr">
        <is>
          <t>Veterinær, medisin, semin mm. = Veterinær, medisin, semin mm. [C39] ÷ Tal årsgeiter [C7]</t>
        </is>
      </c>
      <c r="F70" s="24" t="inlineStr">
        <is>
          <t>=IF((C7)=0,0,(C39)/(C7))</t>
        </is>
      </c>
    </row>
    <row r="71">
      <c r="A71" s="20" t="inlineStr">
        <is>
          <t>Innkjøp dyr</t>
        </is>
      </c>
      <c r="B71" s="21" t="inlineStr">
        <is>
          <t>Utrekna</t>
        </is>
      </c>
      <c r="C71" s="38">
        <f>IF((C7)=0,0,(C40)/(C7))</f>
        <v/>
      </c>
      <c r="D71" s="12" t="inlineStr">
        <is>
          <t>kr</t>
        </is>
      </c>
      <c r="E71" s="23" t="inlineStr">
        <is>
          <t>Innkjøp dyr = Innkjøp dyr [C40] ÷ Tal årsgeiter [C7]</t>
        </is>
      </c>
      <c r="F71" s="24" t="inlineStr">
        <is>
          <t>=IF((C7)=0,0,(C40)/(C7))</t>
        </is>
      </c>
    </row>
    <row r="72">
      <c r="A72" s="20" t="inlineStr">
        <is>
          <t>Andre variable kostnader</t>
        </is>
      </c>
      <c r="B72" s="21" t="inlineStr">
        <is>
          <t>Utrekna</t>
        </is>
      </c>
      <c r="C72" s="38">
        <f>IF((C7)=0,0,(C41)/(C7))</f>
        <v/>
      </c>
      <c r="D72" s="12" t="inlineStr">
        <is>
          <t>kr</t>
        </is>
      </c>
      <c r="E72" s="23" t="inlineStr">
        <is>
          <t>Andre variable kostnader = Andre variable kostnader [C41] ÷ Tal årsgeiter [C7]</t>
        </is>
      </c>
      <c r="F72" s="24" t="inlineStr">
        <is>
          <t>=IF((C7)=0,0,(C41)/(C7))</t>
        </is>
      </c>
    </row>
    <row r="73">
      <c r="A73" s="20" t="inlineStr">
        <is>
          <t>Sum variable kostnader</t>
        </is>
      </c>
      <c r="B73" s="21" t="inlineStr">
        <is>
          <t>Utrekna</t>
        </is>
      </c>
      <c r="C73" s="38">
        <f>IF((C7)=0,0,(C51)/(C7))</f>
        <v/>
      </c>
      <c r="D73" s="12" t="inlineStr">
        <is>
          <t>kr</t>
        </is>
      </c>
      <c r="E73" s="23" t="inlineStr">
        <is>
          <t>Sum variable kostnader = Variable kostnader i alt [C51] ÷ Tal årsgeiter [C7]</t>
        </is>
      </c>
      <c r="F73" s="24" t="inlineStr">
        <is>
          <t>=IF((C7)=0,0,(C51)/(C7))</t>
        </is>
      </c>
    </row>
    <row r="74">
      <c r="A74" s="18" t="inlineStr">
        <is>
          <t>Resultat pr geit</t>
        </is>
      </c>
      <c r="B74" s="19" t="n"/>
      <c r="C74" s="19" t="n"/>
      <c r="D74" s="19" t="n"/>
      <c r="E74" s="19" t="n"/>
      <c r="F74" s="19" t="n"/>
    </row>
    <row r="75">
      <c r="A75" s="20" t="inlineStr">
        <is>
          <t>DB utan tilskot</t>
        </is>
      </c>
      <c r="B75" s="21" t="inlineStr">
        <is>
          <t>Utrekna</t>
        </is>
      </c>
      <c r="C75" s="38">
        <f>IF((C7)=0,0,(C52)/(C7))</f>
        <v/>
      </c>
      <c r="D75" s="12" t="inlineStr">
        <is>
          <t>kr</t>
        </is>
      </c>
      <c r="E75" s="23" t="inlineStr">
        <is>
          <t>DB utan tilskot = Dekningsbidrag (DB) utan tilskot [C52] ÷ Tal årsgeiter [C7]</t>
        </is>
      </c>
      <c r="F75" s="24" t="inlineStr">
        <is>
          <t>=IF((C7)=0,0,(C52)/(C7))</t>
        </is>
      </c>
    </row>
    <row r="76">
      <c r="A76" s="20" t="inlineStr">
        <is>
          <t>Tilskot</t>
        </is>
      </c>
      <c r="B76" s="21" t="inlineStr">
        <is>
          <t>Utrekna</t>
        </is>
      </c>
      <c r="C76" s="38">
        <f>IF((C7)=0,0,(C18)/(C7))</f>
        <v/>
      </c>
      <c r="D76" s="12" t="inlineStr">
        <is>
          <t>kr</t>
        </is>
      </c>
      <c r="E76" s="23" t="inlineStr">
        <is>
          <t>Tilskot = Produksjonstilskot fordelt på produksjonen [C18] ÷ Tal årsgeiter [C7]</t>
        </is>
      </c>
      <c r="F76" s="24" t="inlineStr">
        <is>
          <t>=IF((C7)=0,0,(C18)/(C7))</t>
        </is>
      </c>
    </row>
    <row r="77">
      <c r="A77" s="20" t="inlineStr">
        <is>
          <t>DB med tilskot</t>
        </is>
      </c>
      <c r="B77" s="21" t="inlineStr">
        <is>
          <t>Utrekna</t>
        </is>
      </c>
      <c r="C77" s="38">
        <f>IF((C7)=0,0,(C53)/(C7))</f>
        <v/>
      </c>
      <c r="D77" s="12" t="inlineStr">
        <is>
          <t>kr</t>
        </is>
      </c>
      <c r="E77" s="23" t="inlineStr">
        <is>
          <t>DB med tilskot = Dekningsbidrag (DB) med tilskot [C53] ÷ Tal årsgeiter [C7]</t>
        </is>
      </c>
      <c r="F77" s="24" t="inlineStr">
        <is>
          <t>=IF((C7)=0,0,(C53)/(C7))</t>
        </is>
      </c>
    </row>
    <row r="78">
      <c r="A78" s="20" t="inlineStr">
        <is>
          <t>Maskinkostnader</t>
        </is>
      </c>
      <c r="B78" s="21" t="inlineStr">
        <is>
          <t>Utrekna</t>
        </is>
      </c>
      <c r="C78" s="38">
        <f>IF((C7)=0,0,(C43)/(C7))</f>
        <v/>
      </c>
      <c r="D78" s="12" t="inlineStr">
        <is>
          <t>kr</t>
        </is>
      </c>
      <c r="E78" s="23" t="inlineStr">
        <is>
          <t>Maskinkostnader = Maskinkostnader fordelt [C43] ÷ Tal årsgeiter [C7]</t>
        </is>
      </c>
      <c r="F78" s="24" t="inlineStr">
        <is>
          <t>=IF((C7)=0,0,(C43)/(C7))</t>
        </is>
      </c>
    </row>
    <row r="79">
      <c r="A79" s="20" t="inlineStr">
        <is>
          <t>Innandørsmekanisering</t>
        </is>
      </c>
      <c r="B79" s="21" t="inlineStr">
        <is>
          <t>Utrekna</t>
        </is>
      </c>
      <c r="C79" s="38">
        <f>IF((C7)=0,0,(C44)/(C7))</f>
        <v/>
      </c>
      <c r="D79" s="12" t="inlineStr">
        <is>
          <t>kr</t>
        </is>
      </c>
      <c r="E79" s="23" t="inlineStr">
        <is>
          <t>Innandørsmekanisering = Innandørsmekanisering fordelt [C44] ÷ Tal årsgeiter [C7]</t>
        </is>
      </c>
      <c r="F79" s="24" t="inlineStr">
        <is>
          <t>=IF((C7)=0,0,(C44)/(C7))</t>
        </is>
      </c>
    </row>
    <row r="80">
      <c r="A80" s="20" t="inlineStr">
        <is>
          <t>DB m/tilskot etter maskin og innandørsmek.</t>
        </is>
      </c>
      <c r="B80" s="21" t="inlineStr">
        <is>
          <t>Utrekna</t>
        </is>
      </c>
      <c r="C80" s="38">
        <f>IF((C7)=0,0,(C54)/(C7))</f>
        <v/>
      </c>
      <c r="D80" s="12" t="inlineStr">
        <is>
          <t>kr</t>
        </is>
      </c>
      <c r="E80" s="23" t="inlineStr">
        <is>
          <t>DB m/tilskot etter maskin og innandørsmek. = DB m/tilskot etter maskin- og innandørskostnad [C54] ÷ Tal årsgeiter [C7]</t>
        </is>
      </c>
      <c r="F80" s="24" t="inlineStr">
        <is>
          <t>=IF((C7)=0,0,(C54)/(C7))</t>
        </is>
      </c>
    </row>
    <row r="81">
      <c r="A81" s="18" t="inlineStr">
        <is>
          <t>6. OUTPUT – Nøkkeltal</t>
        </is>
      </c>
      <c r="B81" s="19" t="n"/>
      <c r="C81" s="19" t="n"/>
      <c r="D81" s="19" t="n"/>
      <c r="E81" s="19" t="n"/>
      <c r="F81" s="19" t="n"/>
    </row>
    <row r="82">
      <c r="A82" s="25" t="inlineStr">
        <is>
          <t>DB pr liter u/tilskot</t>
        </is>
      </c>
      <c r="B82" s="26" t="inlineStr">
        <is>
          <t>Utrekna</t>
        </is>
      </c>
      <c r="C82" s="39">
        <f>IF((C8)=0,0,(C52)/(C8))</f>
        <v/>
      </c>
      <c r="D82" s="28" t="inlineStr">
        <is>
          <t>kr</t>
        </is>
      </c>
      <c r="E82" s="29" t="inlineStr">
        <is>
          <t>DB pr liter u/tilskot = Dekningsbidrag (DB) utan tilskot [C52] ÷ Levert mjølk [C8]</t>
        </is>
      </c>
      <c r="F82" s="30" t="inlineStr">
        <is>
          <t>=IF((C8)=0,0,(C52)/(C8))</t>
        </is>
      </c>
    </row>
    <row r="83">
      <c r="A83" s="25" t="inlineStr">
        <is>
          <t>DB pr geit u/tilskot</t>
        </is>
      </c>
      <c r="B83" s="26" t="inlineStr">
        <is>
          <t>Utrekna</t>
        </is>
      </c>
      <c r="C83" s="39">
        <f>IF((C7)=0,0,(C52)/(C7))</f>
        <v/>
      </c>
      <c r="D83" s="28" t="inlineStr">
        <is>
          <t>kr</t>
        </is>
      </c>
      <c r="E83" s="29" t="inlineStr">
        <is>
          <t>DB pr geit u/tilskot = Dekningsbidrag (DB) utan tilskot [C52] ÷ Tal årsgeiter [C7]</t>
        </is>
      </c>
      <c r="F83" s="30" t="inlineStr">
        <is>
          <t>=IF((C7)=0,0,(C52)/(C7))</t>
        </is>
      </c>
    </row>
    <row r="84">
      <c r="A84" s="25" t="inlineStr">
        <is>
          <t>DB pr geit m/tilskot</t>
        </is>
      </c>
      <c r="B84" s="26" t="inlineStr">
        <is>
          <t>Utrekna</t>
        </is>
      </c>
      <c r="C84" s="39">
        <f>IF((C7)=0,0,(C53)/(C7))</f>
        <v/>
      </c>
      <c r="D84" s="28" t="inlineStr">
        <is>
          <t>kr</t>
        </is>
      </c>
      <c r="E84" s="29" t="inlineStr">
        <is>
          <t>DB pr geit m/tilskot = Dekningsbidrag (DB) med tilskot [C53] ÷ Tal årsgeiter [C7]</t>
        </is>
      </c>
      <c r="F84" s="30" t="inlineStr">
        <is>
          <t>=IF((C7)=0,0,(C53)/(C7))</t>
        </is>
      </c>
    </row>
    <row r="85">
      <c r="A85" s="25" t="inlineStr">
        <is>
          <t>DB pr dekar grovfôr u/tilskot</t>
        </is>
      </c>
      <c r="B85" s="26" t="inlineStr">
        <is>
          <t>Utrekna</t>
        </is>
      </c>
      <c r="C85" s="39">
        <f>IF(('Grovfôr'!C21*IF(('Grovfôr'!C38)=0,0,(C49)/('Grovfôr'!C38)))=0,0,(C52)/('Grovfôr'!C21*IF(('Grovfôr'!C38)=0,0,(C49)/('Grovfôr'!C38))))</f>
        <v/>
      </c>
      <c r="D85" s="28" t="inlineStr">
        <is>
          <t>kr</t>
        </is>
      </c>
      <c r="E85" s="29" t="inlineStr">
        <is>
          <t>DB pr dekar grovfôr u/tilskot = Dekningsbidrag (DB) utan tilskot [C52] ÷ (Korrigert grovfôrareal (overflate/1,25 + fulldyrka + kulturbeite/2,5) [Grovfôr!C21] × Sum eigen grovfôrproduksjon (utan lagerendring) [C49] ÷ Sum eigen grovfôrkostnad (fordelingsnøkkel areal) [Grovfôr!C38])   (Grovfôrarealet blir fordelt etter produksjonen sin del av eigen grovfôrkostnad)</t>
        </is>
      </c>
      <c r="F85" s="30" t="inlineStr">
        <is>
          <t>=IF(('Grovfôr'!C21*IF(('Grovfôr'!C38)=0,0,(C49)/('Grovfôr'!C38)))=0,0,(C52)/('Grovfôr'!C21*IF(('Grovfôr'!C38)=0,0,(C49)/('Grovfôr'!C38))))</t>
        </is>
      </c>
    </row>
    <row r="86">
      <c r="A86" s="25" t="inlineStr">
        <is>
          <t>DB pr dekar grovfôr m/tilskot</t>
        </is>
      </c>
      <c r="B86" s="26" t="inlineStr">
        <is>
          <t>Utrekna</t>
        </is>
      </c>
      <c r="C86" s="39">
        <f>IF(('Grovfôr'!C21*IF(('Grovfôr'!C38)=0,0,(C49)/('Grovfôr'!C38)))=0,0,(C53)/('Grovfôr'!C21*IF(('Grovfôr'!C38)=0,0,(C49)/('Grovfôr'!C38))))</f>
        <v/>
      </c>
      <c r="D86" s="28" t="inlineStr">
        <is>
          <t>kr</t>
        </is>
      </c>
      <c r="E86" s="29" t="inlineStr">
        <is>
          <t>DB pr dekar grovfôr m/tilskot = Dekningsbidrag (DB) med tilskot [C53] ÷ (Korrigert grovfôrareal (overflate/1,25 + fulldyrka + kulturbeite/2,5) [Grovfôr!C21] × Sum eigen grovfôrproduksjon (utan lagerendring) [C49] ÷ Sum eigen grovfôrkostnad (fordelingsnøkkel areal) [Grovfôr!C38])</t>
        </is>
      </c>
      <c r="F86" s="30" t="inlineStr">
        <is>
          <t>=IF(('Grovfôr'!C21*IF(('Grovfôr'!C38)=0,0,(C49)/('Grovfôr'!C38)))=0,0,(C53)/('Grovfôr'!C21*IF(('Grovfôr'!C38)=0,0,(C49)/('Grovfôr'!C38))))</t>
        </is>
      </c>
    </row>
    <row r="87">
      <c r="A87" s="25" t="inlineStr">
        <is>
          <t>Variabel grovfôrkostnad pr dekar</t>
        </is>
      </c>
      <c r="B87" s="26" t="inlineStr">
        <is>
          <t>Lenkje frå anna ark</t>
        </is>
      </c>
      <c r="C87" s="40">
        <f>'Grovfôr'!C52</f>
        <v/>
      </c>
      <c r="D87" s="28" t="inlineStr">
        <is>
          <t>kr</t>
        </is>
      </c>
      <c r="E87" s="29" t="inlineStr">
        <is>
          <t>Variabel grovfôrkostnad pr dekar = Variabel grovfôrkostnad pr korrigert dekar [Grovfôr!C52]</t>
        </is>
      </c>
      <c r="F87" s="30" t="inlineStr">
        <is>
          <t>='Grovfôr'!C52</t>
        </is>
      </c>
    </row>
    <row r="88">
      <c r="A88" s="25" t="inlineStr">
        <is>
          <t>Maskinkostnader pr dekar grovfôr</t>
        </is>
      </c>
      <c r="B88" s="26" t="inlineStr">
        <is>
          <t>Lenkje frå anna ark</t>
        </is>
      </c>
      <c r="C88" s="40">
        <f>'Grovfôr'!C53</f>
        <v/>
      </c>
      <c r="D88" s="28" t="inlineStr">
        <is>
          <t>kr</t>
        </is>
      </c>
      <c r="E88" s="29" t="inlineStr">
        <is>
          <t>Maskinkostnader pr dekar grovfôr = Maskinkostnader pr dekar grovfôr [Grovfôr!C53]</t>
        </is>
      </c>
      <c r="F88" s="30" t="inlineStr">
        <is>
          <t>='Grovfôr'!C53</t>
        </is>
      </c>
    </row>
    <row r="89">
      <c r="A89" s="25" t="inlineStr">
        <is>
          <t>Korrigerte dekar pr «kueining»</t>
        </is>
      </c>
      <c r="B89" s="26" t="inlineStr">
        <is>
          <t>Lenkje frå anna ark</t>
        </is>
      </c>
      <c r="C89" s="40">
        <f>'Grovfôr'!C54</f>
        <v/>
      </c>
      <c r="D89" s="28" t="inlineStr">
        <is>
          <t>da</t>
        </is>
      </c>
      <c r="E89" s="29" t="inlineStr">
        <is>
          <t>Korrigerte dekar pr «kueining» = Korrigerte dekar pr «kueining» [Grovfôr!C54]</t>
        </is>
      </c>
      <c r="F89" s="30" t="inlineStr">
        <is>
          <t>='Grovfôr'!C54</t>
        </is>
      </c>
    </row>
    <row r="90">
      <c r="A90" s="25" t="inlineStr">
        <is>
          <t>Oppnådd mjølkepris pr liter (u/distriktstilskot)</t>
        </is>
      </c>
      <c r="B90" s="26" t="inlineStr">
        <is>
          <t>Utrekna</t>
        </is>
      </c>
      <c r="C90" s="39">
        <f>IF((C8)=0,0,(C19-C24)/(C8))</f>
        <v/>
      </c>
      <c r="D90" s="28" t="inlineStr">
        <is>
          <t>kr</t>
        </is>
      </c>
      <c r="E90" s="29" t="inlineStr">
        <is>
          <t>Oppnådd mjølkepris pr liter (u/distriktstilskot) = (Mjølk [C19] − Herav distriktstilskot mjølk [C24]) ÷ Levert mjølk [C8]</t>
        </is>
      </c>
      <c r="F90" s="30" t="inlineStr">
        <is>
          <t>=IF((C8)=0,0,(C19-C24)/(C8))</t>
        </is>
      </c>
    </row>
    <row r="91">
      <c r="A91" s="25" t="inlineStr">
        <is>
          <t>Maskinkostnader pr liter</t>
        </is>
      </c>
      <c r="B91" s="26" t="inlineStr">
        <is>
          <t>Utrekna</t>
        </is>
      </c>
      <c r="C91" s="39">
        <f>IF((C8)=0,0,(C43)/(C8))</f>
        <v/>
      </c>
      <c r="D91" s="28" t="inlineStr">
        <is>
          <t>kr</t>
        </is>
      </c>
      <c r="E91" s="29" t="inlineStr">
        <is>
          <t>Maskinkostnader pr liter = Maskinkostnader fordelt [C43] ÷ Levert mjølk [C8]</t>
        </is>
      </c>
      <c r="F91" s="30" t="inlineStr">
        <is>
          <t>=IF((C8)=0,0,(C43)/(C8))</t>
        </is>
      </c>
    </row>
    <row r="92">
      <c r="A92" s="25" t="inlineStr">
        <is>
          <t>Innandørsmekanisering pr liter</t>
        </is>
      </c>
      <c r="B92" s="26" t="inlineStr">
        <is>
          <t>Utrekna</t>
        </is>
      </c>
      <c r="C92" s="39">
        <f>IF((C8)=0,0,(C44)/(C8))</f>
        <v/>
      </c>
      <c r="D92" s="28" t="inlineStr">
        <is>
          <t>kr</t>
        </is>
      </c>
      <c r="E92" s="29" t="inlineStr">
        <is>
          <t>Innandørsmekanisering pr liter = Innandørsmekanisering fordelt [C44] ÷ Levert mjølk [C8]</t>
        </is>
      </c>
      <c r="F92" s="30" t="inlineStr">
        <is>
          <t>=IF((C8)=0,0,(C44)/(C8))</t>
        </is>
      </c>
    </row>
    <row r="93">
      <c r="A93" s="25" t="inlineStr">
        <is>
          <t>Innandørsmekanisering pr geit</t>
        </is>
      </c>
      <c r="B93" s="26" t="inlineStr">
        <is>
          <t>Utrekna</t>
        </is>
      </c>
      <c r="C93" s="39">
        <f>IF((C7)=0,0,(C44)/(C7))</f>
        <v/>
      </c>
      <c r="D93" s="28" t="inlineStr">
        <is>
          <t>kr</t>
        </is>
      </c>
      <c r="E93" s="29" t="inlineStr">
        <is>
          <t>Innandørsmekanisering pr geit = Innandørsmekanisering fordelt [C44] ÷ Tal årsgeiter [C7]</t>
        </is>
      </c>
      <c r="F93" s="30" t="inlineStr">
        <is>
          <t>=IF((C7)=0,0,(C44)/(C7))</t>
        </is>
      </c>
    </row>
    <row r="94">
      <c r="A94" s="25" t="inlineStr">
        <is>
          <t>Levert mjølk pr geit (liter)</t>
        </is>
      </c>
      <c r="B94" s="26" t="inlineStr">
        <is>
          <t>Utrekna</t>
        </is>
      </c>
      <c r="C94" s="27">
        <f>IF((C7)=0,0,(C8)/(C7))</f>
        <v/>
      </c>
      <c r="D94" s="28" t="inlineStr">
        <is>
          <t>liter</t>
        </is>
      </c>
      <c r="E94" s="29" t="inlineStr">
        <is>
          <t>Levert mjølk pr geit (liter) = Levert mjølk [C8] ÷ Tal årsgeiter [C7]</t>
        </is>
      </c>
      <c r="F94" s="30" t="inlineStr">
        <is>
          <t>=IF((C7)=0,0,(C8)/(C7))</t>
        </is>
      </c>
    </row>
    <row r="95">
      <c r="A95" s="25" t="inlineStr">
        <is>
          <t>Kvoteoppfylling</t>
        </is>
      </c>
      <c r="B95" s="26" t="inlineStr">
        <is>
          <t>Utrekna</t>
        </is>
      </c>
      <c r="C95" s="33">
        <f>IF((C9)=0,0,(C8)/(C9))</f>
        <v/>
      </c>
      <c r="D95" s="28" t="inlineStr">
        <is>
          <t>%</t>
        </is>
      </c>
      <c r="E95" s="29" t="inlineStr">
        <is>
          <t>Kvoteoppfylling = Levert mjølk [C8] ÷ Disponibel mjølkekvote [C9]</t>
        </is>
      </c>
      <c r="F95" s="30" t="inlineStr">
        <is>
          <t>=IF((C9)=0,0,(C8)/(C9))</t>
        </is>
      </c>
    </row>
  </sheetData>
  <pageMargins left="0.75" right="0.75" top="1" bottom="1" header="0.5" footer="0.5"/>
  <pageSetup orientation="landscape" fitToHeight="0" fitToWidth="1"/>
</worksheet>
</file>

<file path=xl/worksheets/sheet24.xml><?xml version="1.0" encoding="utf-8"?>
<worksheet xmlns="http://schemas.openxmlformats.org/spreadsheetml/2006/main">
  <sheetPr>
    <outlinePr summaryBelow="1" summaryRight="1"/>
    <pageSetUpPr fitToPage="1"/>
  </sheetPr>
  <dimension ref="A1:F56"/>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0" customWidth="1" min="1" max="1"/>
    <col width="34" customWidth="1" min="2" max="2"/>
    <col width="16" customWidth="1" min="3" max="3"/>
    <col width="10" customWidth="1" min="4" max="4"/>
    <col width="78" customWidth="1" min="5" max="5"/>
    <col width="46" customWidth="1" min="6" max="6"/>
  </cols>
  <sheetData>
    <row r="1" ht="22" customHeight="1">
      <c r="A1" s="1" t="inlineStr">
        <is>
          <t>Eggproduksjon  –  driftsgrein 6530-6532</t>
        </is>
      </c>
    </row>
    <row r="2">
      <c r="A2" s="7" t="inlineStr">
        <is>
          <t>Konsumegg (driftsgrein 6530–6532).</t>
        </is>
      </c>
    </row>
    <row r="3">
      <c r="A3" s="8" t="inlineStr">
        <is>
          <t>Fargekodar:  blå tal på gul botn = input (skal fyllast inn)   ·   svart = formel   ·   grøn = lenkje frå anna ark.   Alle kronebeløp er positive (inntekt og kostnad).</t>
        </is>
      </c>
    </row>
    <row r="5">
      <c r="A5" s="17" t="inlineStr">
        <is>
          <t>Post</t>
        </is>
      </c>
      <c r="B5" s="17" t="inlineStr">
        <is>
          <t>Kjelde / Tripletex-konto</t>
        </is>
      </c>
      <c r="C5" s="17" t="inlineStr">
        <is>
          <t>Verdi</t>
        </is>
      </c>
      <c r="D5" s="17" t="inlineStr">
        <is>
          <t>Eining</t>
        </is>
      </c>
      <c r="E5" s="17" t="inlineStr">
        <is>
          <t>Formel forklart (korleis outputen blir rekna)</t>
        </is>
      </c>
      <c r="F5" s="17" t="inlineStr">
        <is>
          <t>Excel-formel</t>
        </is>
      </c>
    </row>
    <row r="6">
      <c r="A6" s="18" t="inlineStr">
        <is>
          <t>1. INPUT – Produksjonsdata (frå produksjonstabell / teljingar)</t>
        </is>
      </c>
      <c r="B6" s="19" t="n"/>
      <c r="C6" s="19" t="n"/>
      <c r="D6" s="19" t="n"/>
      <c r="E6" s="19" t="n"/>
      <c r="F6" s="19" t="n"/>
    </row>
    <row r="7">
      <c r="A7" s="20" t="inlineStr">
        <is>
          <t>Tal høner</t>
        </is>
      </c>
      <c r="B7" s="24" t="inlineStr">
        <is>
          <t>Produksjonstabell (EnhetAntall)</t>
        </is>
      </c>
      <c r="C7" s="31" t="n">
        <v>7500</v>
      </c>
      <c r="D7" s="12" t="inlineStr">
        <is>
          <t>stk</t>
        </is>
      </c>
      <c r="E7" s="24" t="inlineStr">
        <is>
          <t>Input. Hentast frå: Produksjonstabell (EnhetAntall).</t>
        </is>
      </c>
      <c r="F7" s="32" t="n"/>
    </row>
    <row r="8">
      <c r="A8" s="20" t="inlineStr">
        <is>
          <t>Kg egg levert</t>
        </is>
      </c>
      <c r="B8" s="24" t="inlineStr">
        <is>
          <t>Mengde 1 på konto 3076</t>
        </is>
      </c>
      <c r="C8" s="31" t="n">
        <v>142500</v>
      </c>
      <c r="D8" s="12" t="inlineStr">
        <is>
          <t>kg</t>
        </is>
      </c>
      <c r="E8" s="24" t="inlineStr">
        <is>
          <t>Input. Hentast frå: Mengde 1 på konto 3076.</t>
        </is>
      </c>
      <c r="F8" s="32" t="n"/>
    </row>
    <row r="9">
      <c r="A9" s="20" t="inlineStr">
        <is>
          <t>Husdyrrom</t>
        </is>
      </c>
      <c r="B9" s="24" t="inlineStr">
        <is>
          <t>Mengde 1 på 1055-1059</t>
        </is>
      </c>
      <c r="C9" s="31" t="n">
        <v>1100</v>
      </c>
      <c r="D9" s="12" t="inlineStr">
        <is>
          <t>m²</t>
        </is>
      </c>
      <c r="E9" s="24" t="inlineStr">
        <is>
          <t>Input. Hentast frå: Mengde 1 på 1055-1059.</t>
        </is>
      </c>
      <c r="F9" s="32" t="n"/>
    </row>
    <row r="10">
      <c r="A10" s="18" t="inlineStr">
        <is>
          <t>2. INPUT – Rekneskapstal (kr) frå saldobalansen etter korrigeringar</t>
        </is>
      </c>
      <c r="B10" s="19" t="n"/>
      <c r="C10" s="19" t="n"/>
      <c r="D10" s="19" t="n"/>
      <c r="E10" s="19" t="n"/>
      <c r="F10" s="19" t="n"/>
    </row>
    <row r="11">
      <c r="A11" s="20" t="inlineStr">
        <is>
          <t>Produksjonstilskot fordelt på produksjonen</t>
        </is>
      </c>
      <c r="B11" s="24" t="inlineStr">
        <is>
          <t>34xx (ikkje 344x avløysartilskot)</t>
        </is>
      </c>
      <c r="C11" s="31" t="n">
        <v>110000</v>
      </c>
      <c r="D11" s="12" t="inlineStr">
        <is>
          <t>kr</t>
        </is>
      </c>
      <c r="E11" s="24" t="inlineStr">
        <is>
          <t>Input. Hentast frå: 34xx (ikkje 344x avløysartilskot).</t>
        </is>
      </c>
      <c r="F11" s="32" t="n"/>
    </row>
    <row r="12">
      <c r="A12" s="20" t="inlineStr">
        <is>
          <t>Egg</t>
        </is>
      </c>
      <c r="B12" s="24" t="inlineStr">
        <is>
          <t>3076, 3097, 3163/3173 (.486)</t>
        </is>
      </c>
      <c r="C12" s="31" t="n">
        <v>2992500</v>
      </c>
      <c r="D12" s="12" t="inlineStr">
        <is>
          <t>kr</t>
        </is>
      </c>
      <c r="E12" s="24" t="inlineStr">
        <is>
          <t>Input. Hentast frå: 3076, 3097, 3163/3173 (.486).</t>
        </is>
      </c>
      <c r="F12" s="32" t="n"/>
    </row>
    <row r="13">
      <c r="A13" s="20" t="inlineStr">
        <is>
          <t>Buskap, beholdningsendring (+ = auke)</t>
        </is>
      </c>
      <c r="B13" s="24" t="inlineStr">
        <is>
          <t>4696 (forteikn snudd)</t>
        </is>
      </c>
      <c r="C13" s="31" t="n">
        <v>0</v>
      </c>
      <c r="D13" s="12" t="inlineStr">
        <is>
          <t>kr</t>
        </is>
      </c>
      <c r="E13" s="24" t="inlineStr">
        <is>
          <t>Input. Hentast frå: 4696 (forteikn snudd).</t>
        </is>
      </c>
      <c r="F13" s="32" t="n"/>
    </row>
    <row r="14">
      <c r="A14" s="20" t="inlineStr">
        <is>
          <t>Andre inntekter (t.d. slakt av høner)</t>
        </is>
      </c>
      <c r="B14" s="24" t="inlineStr">
        <is>
          <t>3046 + andre 3xxx</t>
        </is>
      </c>
      <c r="C14" s="31" t="n">
        <v>20000</v>
      </c>
      <c r="D14" s="12" t="inlineStr">
        <is>
          <t>kr</t>
        </is>
      </c>
      <c r="E14" s="24" t="inlineStr">
        <is>
          <t>Input. Hentast frå: 3046 + andre 3xxx.</t>
        </is>
      </c>
      <c r="F14" s="32" t="n"/>
    </row>
    <row r="15">
      <c r="A15" s="18" t="inlineStr">
        <is>
          <t>Variable kostnader</t>
        </is>
      </c>
      <c r="B15" s="19" t="n"/>
      <c r="C15" s="19" t="n"/>
      <c r="D15" s="19" t="n"/>
      <c r="E15" s="19" t="n"/>
      <c r="F15" s="19" t="n"/>
    </row>
    <row r="16">
      <c r="A16" s="20" t="inlineStr">
        <is>
          <t>Kraftfôr mm.</t>
        </is>
      </c>
      <c r="B16" s="24" t="inlineStr">
        <is>
          <t>4020-4029, 4040-4049, 4092, 4094</t>
        </is>
      </c>
      <c r="C16" s="31" t="n">
        <v>1350000</v>
      </c>
      <c r="D16" s="12" t="inlineStr">
        <is>
          <t>kr</t>
        </is>
      </c>
      <c r="E16" s="24" t="inlineStr">
        <is>
          <t>Input. Hentast frå: 4020-4029, 4040-4049, 4092, 4094.</t>
        </is>
      </c>
      <c r="F16" s="32" t="n"/>
    </row>
    <row r="17">
      <c r="A17" s="20" t="inlineStr">
        <is>
          <t>Veterinær, medisin, inseminering</t>
        </is>
      </c>
      <c r="B17" s="24" t="inlineStr">
        <is>
          <t>4120, 4192, 4520-4529</t>
        </is>
      </c>
      <c r="C17" s="31" t="n">
        <v>25000</v>
      </c>
      <c r="D17" s="12" t="inlineStr">
        <is>
          <t>kr</t>
        </is>
      </c>
      <c r="E17" s="24" t="inlineStr">
        <is>
          <t>Input. Hentast frå: 4120, 4192, 4520-4529.</t>
        </is>
      </c>
      <c r="F17" s="32" t="n"/>
    </row>
    <row r="18">
      <c r="A18" s="20" t="inlineStr">
        <is>
          <t>Innkjøp dyr</t>
        </is>
      </c>
      <c r="B18" s="24" t="inlineStr">
        <is>
          <t>4600-4689</t>
        </is>
      </c>
      <c r="C18" s="31" t="n">
        <v>525000</v>
      </c>
      <c r="D18" s="12" t="inlineStr">
        <is>
          <t>kr</t>
        </is>
      </c>
      <c r="E18" s="24" t="inlineStr">
        <is>
          <t>Input. Hentast frå: 4600-4689.</t>
        </is>
      </c>
      <c r="F18" s="32" t="n"/>
    </row>
    <row r="19">
      <c r="A19" s="20" t="inlineStr">
        <is>
          <t>Andre variable kostnader</t>
        </is>
      </c>
      <c r="B19" s="24" t="inlineStr">
        <is>
          <t>4130-4139, 4193, 4530-4549, 4560-4569 + andre 4xxx</t>
        </is>
      </c>
      <c r="C19" s="31" t="n">
        <v>180000</v>
      </c>
      <c r="D19" s="12" t="inlineStr">
        <is>
          <t>kr</t>
        </is>
      </c>
      <c r="E19" s="24" t="inlineStr">
        <is>
          <t>Input. Hentast frå: 4130-4139, 4193, 4530-4549, 4560-4569 + andre 4xxx.</t>
        </is>
      </c>
      <c r="F19" s="32" t="n"/>
    </row>
    <row r="20">
      <c r="A20" s="18" t="inlineStr">
        <is>
          <t>3. INPUT – Fordelte faste kostnader (lenka frå arket «Faste kostnader»)</t>
        </is>
      </c>
      <c r="B20" s="19" t="n"/>
      <c r="C20" s="19" t="n"/>
      <c r="D20" s="19" t="n"/>
      <c r="E20" s="19" t="n"/>
      <c r="F20" s="19" t="n"/>
    </row>
    <row r="21">
      <c r="A21" s="20" t="inlineStr">
        <is>
          <t>Maskinkostnader fordelt</t>
        </is>
      </c>
      <c r="B21" s="21" t="inlineStr">
        <is>
          <t>Lenkje frå anna ark</t>
        </is>
      </c>
      <c r="C21" s="13">
        <f>'Faste kostnader'!C55</f>
        <v/>
      </c>
      <c r="D21" s="12" t="inlineStr">
        <is>
          <t>kr</t>
        </is>
      </c>
      <c r="E21" s="23" t="inlineStr">
        <is>
          <t>Maskinkostnader fordelt = Maskinkostnader – Egg [Faste kostnader!C55]</t>
        </is>
      </c>
      <c r="F21" s="24" t="inlineStr">
        <is>
          <t>='Faste kostnader'!C55</t>
        </is>
      </c>
    </row>
    <row r="22">
      <c r="A22" s="20" t="inlineStr">
        <is>
          <t>Innandørsmekanisering fordelt</t>
        </is>
      </c>
      <c r="B22" s="21" t="inlineStr">
        <is>
          <t>Lenkje frå anna ark</t>
        </is>
      </c>
      <c r="C22" s="13">
        <f>'Faste kostnader'!C86</f>
        <v/>
      </c>
      <c r="D22" s="12" t="inlineStr">
        <is>
          <t>kr</t>
        </is>
      </c>
      <c r="E22" s="23" t="inlineStr">
        <is>
          <t>Innandørsmekanisering fordelt = Innandørsmekanisering – Egg [Faste kostnader!C86]</t>
        </is>
      </c>
      <c r="F22" s="24" t="inlineStr">
        <is>
          <t>='Faste kostnader'!C86</t>
        </is>
      </c>
    </row>
    <row r="23">
      <c r="A23" s="18" t="inlineStr">
        <is>
          <t>4. UTREKNING – Totalt for produksjonen</t>
        </is>
      </c>
      <c r="B23" s="19" t="n"/>
      <c r="C23" s="19" t="n"/>
      <c r="D23" s="19" t="n"/>
      <c r="E23" s="19" t="n"/>
      <c r="F23" s="19" t="n"/>
    </row>
    <row r="24">
      <c r="A24" s="20" t="inlineStr">
        <is>
          <t>Produksjonsinntekter i alt</t>
        </is>
      </c>
      <c r="B24" s="21" t="inlineStr">
        <is>
          <t>Utrekna</t>
        </is>
      </c>
      <c r="C24" s="22">
        <f>C12+C13+C14</f>
        <v/>
      </c>
      <c r="D24" s="12" t="inlineStr">
        <is>
          <t>kr</t>
        </is>
      </c>
      <c r="E24" s="23" t="inlineStr">
        <is>
          <t>Produksjonsinntekter i alt = Egg [C12] + Buskap, beholdningsendring (+ = auke) [C13] + Andre inntekter (t.d. slakt av høner) [C14]</t>
        </is>
      </c>
      <c r="F24" s="24" t="inlineStr">
        <is>
          <t>=C12+C13+C14</t>
        </is>
      </c>
    </row>
    <row r="25">
      <c r="A25" s="20" t="inlineStr">
        <is>
          <t>Variable kostnader i alt</t>
        </is>
      </c>
      <c r="B25" s="21" t="inlineStr">
        <is>
          <t>Utrekna</t>
        </is>
      </c>
      <c r="C25" s="22">
        <f>C16+C17+C18+C19</f>
        <v/>
      </c>
      <c r="D25" s="12" t="inlineStr">
        <is>
          <t>kr</t>
        </is>
      </c>
      <c r="E25" s="23" t="inlineStr">
        <is>
          <t>Variable kostnader i alt = Kraftfôr mm. [C16] + Veterinær, medisin, inseminering [C17] + Innkjøp dyr [C18] + Andre variable kostnader [C19]</t>
        </is>
      </c>
      <c r="F25" s="24" t="inlineStr">
        <is>
          <t>=C16+C17+C18+C19</t>
        </is>
      </c>
    </row>
    <row r="26">
      <c r="A26" s="25" t="inlineStr">
        <is>
          <t>Dekningsbidrag (DB) utan tilskot</t>
        </is>
      </c>
      <c r="B26" s="26" t="inlineStr">
        <is>
          <t>Utrekna</t>
        </is>
      </c>
      <c r="C26" s="27">
        <f>C24-C25</f>
        <v/>
      </c>
      <c r="D26" s="28" t="inlineStr">
        <is>
          <t>kr</t>
        </is>
      </c>
      <c r="E26" s="29" t="inlineStr">
        <is>
          <t>Dekningsbidrag (DB) utan tilskot = Produksjonsinntekter i alt [C24] − Variable kostnader i alt [C25]</t>
        </is>
      </c>
      <c r="F26" s="30" t="inlineStr">
        <is>
          <t>=C24-C25</t>
        </is>
      </c>
    </row>
    <row r="27">
      <c r="A27" s="25" t="inlineStr">
        <is>
          <t>Dekningsbidrag (DB) med tilskot</t>
        </is>
      </c>
      <c r="B27" s="26" t="inlineStr">
        <is>
          <t>Utrekna</t>
        </is>
      </c>
      <c r="C27" s="27">
        <f>C26+C11</f>
        <v/>
      </c>
      <c r="D27" s="28" t="inlineStr">
        <is>
          <t>kr</t>
        </is>
      </c>
      <c r="E27" s="29" t="inlineStr">
        <is>
          <t>Dekningsbidrag (DB) med tilskot = Dekningsbidrag (DB) utan tilskot [C26] + Produksjonstilskot fordelt på produksjonen [C11]</t>
        </is>
      </c>
      <c r="F27" s="30" t="inlineStr">
        <is>
          <t>=C26+C11</t>
        </is>
      </c>
    </row>
    <row r="28">
      <c r="A28" s="20" t="inlineStr">
        <is>
          <t>DB m/tilskot etter maskin- og innandørskostnad</t>
        </is>
      </c>
      <c r="B28" s="21" t="inlineStr">
        <is>
          <t>Utrekna</t>
        </is>
      </c>
      <c r="C28" s="22">
        <f>C27-C21-C22</f>
        <v/>
      </c>
      <c r="D28" s="12" t="inlineStr">
        <is>
          <t>kr</t>
        </is>
      </c>
      <c r="E28" s="23" t="inlineStr">
        <is>
          <t>DB m/tilskot etter maskin- og innandørskostnad = Dekningsbidrag (DB) med tilskot [C27] − Maskinkostnader fordelt [C21] − Innandørsmekanisering fordelt [C22]</t>
        </is>
      </c>
      <c r="F28" s="24" t="inlineStr">
        <is>
          <t>=C27-C21-C22</t>
        </is>
      </c>
    </row>
    <row r="29">
      <c r="A29" s="18" t="inlineStr">
        <is>
          <t>5. OUTPUT – Per eining (pr høne)</t>
        </is>
      </c>
      <c r="B29" s="19" t="n"/>
      <c r="C29" s="19" t="n"/>
      <c r="D29" s="19" t="n"/>
      <c r="E29" s="19" t="n"/>
      <c r="F29" s="19" t="n"/>
    </row>
    <row r="30">
      <c r="A30" s="18" t="inlineStr">
        <is>
          <t>Produksjonsinntekter pr høne</t>
        </is>
      </c>
      <c r="B30" s="19" t="n"/>
      <c r="C30" s="19" t="n"/>
      <c r="D30" s="19" t="n"/>
      <c r="E30" s="19" t="n"/>
      <c r="F30" s="19" t="n"/>
    </row>
    <row r="31">
      <c r="A31" s="20" t="inlineStr">
        <is>
          <t>Egg</t>
        </is>
      </c>
      <c r="B31" s="21" t="inlineStr">
        <is>
          <t>Utrekna</t>
        </is>
      </c>
      <c r="C31" s="38">
        <f>IF((C7)=0,0,(C12)/(C7))</f>
        <v/>
      </c>
      <c r="D31" s="12" t="inlineStr">
        <is>
          <t>kr</t>
        </is>
      </c>
      <c r="E31" s="23" t="inlineStr">
        <is>
          <t>Egg = Egg [C12] ÷ Tal høner [C7]</t>
        </is>
      </c>
      <c r="F31" s="24" t="inlineStr">
        <is>
          <t>=IF((C7)=0,0,(C12)/(C7))</t>
        </is>
      </c>
    </row>
    <row r="32">
      <c r="A32" s="20" t="inlineStr">
        <is>
          <t>Buskap, beholdningsendring (+ = auke)</t>
        </is>
      </c>
      <c r="B32" s="21" t="inlineStr">
        <is>
          <t>Utrekna</t>
        </is>
      </c>
      <c r="C32" s="38">
        <f>IF((C7)=0,0,(C13)/(C7))</f>
        <v/>
      </c>
      <c r="D32" s="12" t="inlineStr">
        <is>
          <t>kr</t>
        </is>
      </c>
      <c r="E32" s="23" t="inlineStr">
        <is>
          <t>Buskap, beholdningsendring (+ = auke) = Buskap, beholdningsendring (+ = auke) [C13] ÷ Tal høner [C7]</t>
        </is>
      </c>
      <c r="F32" s="24" t="inlineStr">
        <is>
          <t>=IF((C7)=0,0,(C13)/(C7))</t>
        </is>
      </c>
    </row>
    <row r="33">
      <c r="A33" s="20" t="inlineStr">
        <is>
          <t>Andre inntekter (t.d. slakt av høner)</t>
        </is>
      </c>
      <c r="B33" s="21" t="inlineStr">
        <is>
          <t>Utrekna</t>
        </is>
      </c>
      <c r="C33" s="38">
        <f>IF((C7)=0,0,(C14)/(C7))</f>
        <v/>
      </c>
      <c r="D33" s="12" t="inlineStr">
        <is>
          <t>kr</t>
        </is>
      </c>
      <c r="E33" s="23" t="inlineStr">
        <is>
          <t>Andre inntekter (t.d. slakt av høner) = Andre inntekter (t.d. slakt av høner) [C14] ÷ Tal høner [C7]</t>
        </is>
      </c>
      <c r="F33" s="24" t="inlineStr">
        <is>
          <t>=IF((C7)=0,0,(C14)/(C7))</t>
        </is>
      </c>
    </row>
    <row r="34">
      <c r="A34" s="20" t="inlineStr">
        <is>
          <t>Produksjonsinntekter i alt</t>
        </is>
      </c>
      <c r="B34" s="21" t="inlineStr">
        <is>
          <t>Utrekna</t>
        </is>
      </c>
      <c r="C34" s="38">
        <f>IF((C7)=0,0,(C24)/(C7))</f>
        <v/>
      </c>
      <c r="D34" s="12" t="inlineStr">
        <is>
          <t>kr</t>
        </is>
      </c>
      <c r="E34" s="23" t="inlineStr">
        <is>
          <t>Produksjonsinntekter i alt = Produksjonsinntekter i alt [C24] ÷ Tal høner [C7]</t>
        </is>
      </c>
      <c r="F34" s="24" t="inlineStr">
        <is>
          <t>=IF((C7)=0,0,(C24)/(C7))</t>
        </is>
      </c>
    </row>
    <row r="35">
      <c r="A35" s="18" t="inlineStr">
        <is>
          <t>Variable kostnader pr høne</t>
        </is>
      </c>
      <c r="B35" s="19" t="n"/>
      <c r="C35" s="19" t="n"/>
      <c r="D35" s="19" t="n"/>
      <c r="E35" s="19" t="n"/>
      <c r="F35" s="19" t="n"/>
    </row>
    <row r="36">
      <c r="A36" s="20" t="inlineStr">
        <is>
          <t>Kraftfôr mm.</t>
        </is>
      </c>
      <c r="B36" s="21" t="inlineStr">
        <is>
          <t>Utrekna</t>
        </is>
      </c>
      <c r="C36" s="38">
        <f>IF((C7)=0,0,(C16)/(C7))</f>
        <v/>
      </c>
      <c r="D36" s="12" t="inlineStr">
        <is>
          <t>kr</t>
        </is>
      </c>
      <c r="E36" s="23" t="inlineStr">
        <is>
          <t>Kraftfôr mm. = Kraftfôr mm. [C16] ÷ Tal høner [C7]</t>
        </is>
      </c>
      <c r="F36" s="24" t="inlineStr">
        <is>
          <t>=IF((C7)=0,0,(C16)/(C7))</t>
        </is>
      </c>
    </row>
    <row r="37">
      <c r="A37" s="20" t="inlineStr">
        <is>
          <t>Veterinær, medisin, inseminering</t>
        </is>
      </c>
      <c r="B37" s="21" t="inlineStr">
        <is>
          <t>Utrekna</t>
        </is>
      </c>
      <c r="C37" s="38">
        <f>IF((C7)=0,0,(C17)/(C7))</f>
        <v/>
      </c>
      <c r="D37" s="12" t="inlineStr">
        <is>
          <t>kr</t>
        </is>
      </c>
      <c r="E37" s="23" t="inlineStr">
        <is>
          <t>Veterinær, medisin, inseminering = Veterinær, medisin, inseminering [C17] ÷ Tal høner [C7]</t>
        </is>
      </c>
      <c r="F37" s="24" t="inlineStr">
        <is>
          <t>=IF((C7)=0,0,(C17)/(C7))</t>
        </is>
      </c>
    </row>
    <row r="38">
      <c r="A38" s="20" t="inlineStr">
        <is>
          <t>Innkjøp dyr</t>
        </is>
      </c>
      <c r="B38" s="21" t="inlineStr">
        <is>
          <t>Utrekna</t>
        </is>
      </c>
      <c r="C38" s="38">
        <f>IF((C7)=0,0,(C18)/(C7))</f>
        <v/>
      </c>
      <c r="D38" s="12" t="inlineStr">
        <is>
          <t>kr</t>
        </is>
      </c>
      <c r="E38" s="23" t="inlineStr">
        <is>
          <t>Innkjøp dyr = Innkjøp dyr [C18] ÷ Tal høner [C7]</t>
        </is>
      </c>
      <c r="F38" s="24" t="inlineStr">
        <is>
          <t>=IF((C7)=0,0,(C18)/(C7))</t>
        </is>
      </c>
    </row>
    <row r="39">
      <c r="A39" s="20" t="inlineStr">
        <is>
          <t>Andre variable kostnader</t>
        </is>
      </c>
      <c r="B39" s="21" t="inlineStr">
        <is>
          <t>Utrekna</t>
        </is>
      </c>
      <c r="C39" s="38">
        <f>IF((C7)=0,0,(C19)/(C7))</f>
        <v/>
      </c>
      <c r="D39" s="12" t="inlineStr">
        <is>
          <t>kr</t>
        </is>
      </c>
      <c r="E39" s="23" t="inlineStr">
        <is>
          <t>Andre variable kostnader = Andre variable kostnader [C19] ÷ Tal høner [C7]</t>
        </is>
      </c>
      <c r="F39" s="24" t="inlineStr">
        <is>
          <t>=IF((C7)=0,0,(C19)/(C7))</t>
        </is>
      </c>
    </row>
    <row r="40">
      <c r="A40" s="20" t="inlineStr">
        <is>
          <t>Sum variable kostnader</t>
        </is>
      </c>
      <c r="B40" s="21" t="inlineStr">
        <is>
          <t>Utrekna</t>
        </is>
      </c>
      <c r="C40" s="38">
        <f>IF((C7)=0,0,(C25)/(C7))</f>
        <v/>
      </c>
      <c r="D40" s="12" t="inlineStr">
        <is>
          <t>kr</t>
        </is>
      </c>
      <c r="E40" s="23" t="inlineStr">
        <is>
          <t>Sum variable kostnader = Variable kostnader i alt [C25] ÷ Tal høner [C7]</t>
        </is>
      </c>
      <c r="F40" s="24" t="inlineStr">
        <is>
          <t>=IF((C7)=0,0,(C25)/(C7))</t>
        </is>
      </c>
    </row>
    <row r="41">
      <c r="A41" s="18" t="inlineStr">
        <is>
          <t>Resultat pr høne</t>
        </is>
      </c>
      <c r="B41" s="19" t="n"/>
      <c r="C41" s="19" t="n"/>
      <c r="D41" s="19" t="n"/>
      <c r="E41" s="19" t="n"/>
      <c r="F41" s="19" t="n"/>
    </row>
    <row r="42">
      <c r="A42" s="20" t="inlineStr">
        <is>
          <t>DB utan tilskot</t>
        </is>
      </c>
      <c r="B42" s="21" t="inlineStr">
        <is>
          <t>Utrekna</t>
        </is>
      </c>
      <c r="C42" s="38">
        <f>IF((C7)=0,0,(C26)/(C7))</f>
        <v/>
      </c>
      <c r="D42" s="12" t="inlineStr">
        <is>
          <t>kr</t>
        </is>
      </c>
      <c r="E42" s="23" t="inlineStr">
        <is>
          <t>DB utan tilskot = Dekningsbidrag (DB) utan tilskot [C26] ÷ Tal høner [C7]</t>
        </is>
      </c>
      <c r="F42" s="24" t="inlineStr">
        <is>
          <t>=IF((C7)=0,0,(C26)/(C7))</t>
        </is>
      </c>
    </row>
    <row r="43">
      <c r="A43" s="20" t="inlineStr">
        <is>
          <t>Tilskot</t>
        </is>
      </c>
      <c r="B43" s="21" t="inlineStr">
        <is>
          <t>Utrekna</t>
        </is>
      </c>
      <c r="C43" s="38">
        <f>IF((C7)=0,0,(C11)/(C7))</f>
        <v/>
      </c>
      <c r="D43" s="12" t="inlineStr">
        <is>
          <t>kr</t>
        </is>
      </c>
      <c r="E43" s="23" t="inlineStr">
        <is>
          <t>Tilskot = Produksjonstilskot fordelt på produksjonen [C11] ÷ Tal høner [C7]</t>
        </is>
      </c>
      <c r="F43" s="24" t="inlineStr">
        <is>
          <t>=IF((C7)=0,0,(C11)/(C7))</t>
        </is>
      </c>
    </row>
    <row r="44">
      <c r="A44" s="20" t="inlineStr">
        <is>
          <t>DB med tilskot</t>
        </is>
      </c>
      <c r="B44" s="21" t="inlineStr">
        <is>
          <t>Utrekna</t>
        </is>
      </c>
      <c r="C44" s="38">
        <f>IF((C7)=0,0,(C27)/(C7))</f>
        <v/>
      </c>
      <c r="D44" s="12" t="inlineStr">
        <is>
          <t>kr</t>
        </is>
      </c>
      <c r="E44" s="23" t="inlineStr">
        <is>
          <t>DB med tilskot = Dekningsbidrag (DB) med tilskot [C27] ÷ Tal høner [C7]</t>
        </is>
      </c>
      <c r="F44" s="24" t="inlineStr">
        <is>
          <t>=IF((C7)=0,0,(C27)/(C7))</t>
        </is>
      </c>
    </row>
    <row r="45">
      <c r="A45" s="20" t="inlineStr">
        <is>
          <t>Maskinkostnader</t>
        </is>
      </c>
      <c r="B45" s="21" t="inlineStr">
        <is>
          <t>Utrekna</t>
        </is>
      </c>
      <c r="C45" s="38">
        <f>IF((C7)=0,0,(C21)/(C7))</f>
        <v/>
      </c>
      <c r="D45" s="12" t="inlineStr">
        <is>
          <t>kr</t>
        </is>
      </c>
      <c r="E45" s="23" t="inlineStr">
        <is>
          <t>Maskinkostnader = Maskinkostnader fordelt [C21] ÷ Tal høner [C7]</t>
        </is>
      </c>
      <c r="F45" s="24" t="inlineStr">
        <is>
          <t>=IF((C7)=0,0,(C21)/(C7))</t>
        </is>
      </c>
    </row>
    <row r="46">
      <c r="A46" s="20" t="inlineStr">
        <is>
          <t>Innandørsmekanisering</t>
        </is>
      </c>
      <c r="B46" s="21" t="inlineStr">
        <is>
          <t>Utrekna</t>
        </is>
      </c>
      <c r="C46" s="38">
        <f>IF((C7)=0,0,(C22)/(C7))</f>
        <v/>
      </c>
      <c r="D46" s="12" t="inlineStr">
        <is>
          <t>kr</t>
        </is>
      </c>
      <c r="E46" s="23" t="inlineStr">
        <is>
          <t>Innandørsmekanisering = Innandørsmekanisering fordelt [C22] ÷ Tal høner [C7]</t>
        </is>
      </c>
      <c r="F46" s="24" t="inlineStr">
        <is>
          <t>=IF((C7)=0,0,(C22)/(C7))</t>
        </is>
      </c>
    </row>
    <row r="47">
      <c r="A47" s="20" t="inlineStr">
        <is>
          <t>DB m/tilskot etter maskin og innandørsmek.</t>
        </is>
      </c>
      <c r="B47" s="21" t="inlineStr">
        <is>
          <t>Utrekna</t>
        </is>
      </c>
      <c r="C47" s="38">
        <f>IF((C7)=0,0,(C28)/(C7))</f>
        <v/>
      </c>
      <c r="D47" s="12" t="inlineStr">
        <is>
          <t>kr</t>
        </is>
      </c>
      <c r="E47" s="23" t="inlineStr">
        <is>
          <t>DB m/tilskot etter maskin og innandørsmek. = DB m/tilskot etter maskin- og innandørskostnad [C28] ÷ Tal høner [C7]</t>
        </is>
      </c>
      <c r="F47" s="24" t="inlineStr">
        <is>
          <t>=IF((C7)=0,0,(C28)/(C7))</t>
        </is>
      </c>
    </row>
    <row r="48">
      <c r="A48" s="18" t="inlineStr">
        <is>
          <t>6. OUTPUT – Nøkkeltal</t>
        </is>
      </c>
      <c r="B48" s="19" t="n"/>
      <c r="C48" s="19" t="n"/>
      <c r="D48" s="19" t="n"/>
      <c r="E48" s="19" t="n"/>
      <c r="F48" s="19" t="n"/>
    </row>
    <row r="49">
      <c r="A49" s="25" t="inlineStr">
        <is>
          <t>DB pr høne u/tilskot</t>
        </is>
      </c>
      <c r="B49" s="26" t="inlineStr">
        <is>
          <t>Utrekna</t>
        </is>
      </c>
      <c r="C49" s="39">
        <f>IF((C7)=0,0,(C26)/(C7))</f>
        <v/>
      </c>
      <c r="D49" s="28" t="inlineStr">
        <is>
          <t>kr</t>
        </is>
      </c>
      <c r="E49" s="29" t="inlineStr">
        <is>
          <t>DB pr høne u/tilskot = Dekningsbidrag (DB) utan tilskot [C26] ÷ Tal høner [C7]</t>
        </is>
      </c>
      <c r="F49" s="30" t="inlineStr">
        <is>
          <t>=IF((C7)=0,0,(C26)/(C7))</t>
        </is>
      </c>
    </row>
    <row r="50">
      <c r="A50" s="25" t="inlineStr">
        <is>
          <t>DB pr høne m/tilskot</t>
        </is>
      </c>
      <c r="B50" s="26" t="inlineStr">
        <is>
          <t>Utrekna</t>
        </is>
      </c>
      <c r="C50" s="39">
        <f>IF((C7)=0,0,(C27)/(C7))</f>
        <v/>
      </c>
      <c r="D50" s="28" t="inlineStr">
        <is>
          <t>kr</t>
        </is>
      </c>
      <c r="E50" s="29" t="inlineStr">
        <is>
          <t>DB pr høne m/tilskot = Dekningsbidrag (DB) med tilskot [C27] ÷ Tal høner [C7]</t>
        </is>
      </c>
      <c r="F50" s="30" t="inlineStr">
        <is>
          <t>=IF((C7)=0,0,(C27)/(C7))</t>
        </is>
      </c>
    </row>
    <row r="51">
      <c r="A51" s="25" t="inlineStr">
        <is>
          <t>DB pr m² husdyrrom</t>
        </is>
      </c>
      <c r="B51" s="26" t="inlineStr">
        <is>
          <t>Utrekna</t>
        </is>
      </c>
      <c r="C51" s="39">
        <f>IF((C9)=0,0,(C26)/(C9))</f>
        <v/>
      </c>
      <c r="D51" s="28" t="inlineStr">
        <is>
          <t>kr</t>
        </is>
      </c>
      <c r="E51" s="29" t="inlineStr">
        <is>
          <t>DB pr m² husdyrrom = Dekningsbidrag (DB) utan tilskot [C26] ÷ Husdyrrom [C9]</t>
        </is>
      </c>
      <c r="F51" s="30" t="inlineStr">
        <is>
          <t>=IF((C9)=0,0,(C26)/(C9))</t>
        </is>
      </c>
    </row>
    <row r="52">
      <c r="A52" s="25" t="inlineStr">
        <is>
          <t>Oppnådd eggpris pr kg</t>
        </is>
      </c>
      <c r="B52" s="26" t="inlineStr">
        <is>
          <t>Utrekna</t>
        </is>
      </c>
      <c r="C52" s="39">
        <f>IF((C8)=0,0,(C12)/(C8))</f>
        <v/>
      </c>
      <c r="D52" s="28" t="inlineStr">
        <is>
          <t>kr</t>
        </is>
      </c>
      <c r="E52" s="29" t="inlineStr">
        <is>
          <t>Oppnådd eggpris pr kg = Egg [C12] ÷ Kg egg levert [C8]</t>
        </is>
      </c>
      <c r="F52" s="30" t="inlineStr">
        <is>
          <t>=IF((C8)=0,0,(C12)/(C8))</t>
        </is>
      </c>
    </row>
    <row r="53">
      <c r="A53" s="25" t="inlineStr">
        <is>
          <t>Eggleveranse pr høne (kg)</t>
        </is>
      </c>
      <c r="B53" s="26" t="inlineStr">
        <is>
          <t>Utrekna</t>
        </is>
      </c>
      <c r="C53" s="39">
        <f>IF((C7)=0,0,(C8)/(C7))</f>
        <v/>
      </c>
      <c r="D53" s="28" t="inlineStr">
        <is>
          <t>kg</t>
        </is>
      </c>
      <c r="E53" s="29" t="inlineStr">
        <is>
          <t>Eggleveranse pr høne (kg) = Kg egg levert [C8] ÷ Tal høner [C7]</t>
        </is>
      </c>
      <c r="F53" s="30" t="inlineStr">
        <is>
          <t>=IF((C7)=0,0,(C8)/(C7))</t>
        </is>
      </c>
    </row>
    <row r="54">
      <c r="A54" s="25" t="inlineStr">
        <is>
          <t>Fôrkostnad pr kg egg</t>
        </is>
      </c>
      <c r="B54" s="26" t="inlineStr">
        <is>
          <t>Utrekna</t>
        </is>
      </c>
      <c r="C54" s="39">
        <f>IF((C8)=0,0,(C16)/(C8))</f>
        <v/>
      </c>
      <c r="D54" s="28" t="inlineStr">
        <is>
          <t>kr</t>
        </is>
      </c>
      <c r="E54" s="29" t="inlineStr">
        <is>
          <t>Fôrkostnad pr kg egg = Kraftfôr mm. [C16] ÷ Kg egg levert [C8]</t>
        </is>
      </c>
      <c r="F54" s="30" t="inlineStr">
        <is>
          <t>=IF((C8)=0,0,(C16)/(C8))</t>
        </is>
      </c>
    </row>
    <row r="55">
      <c r="A55" s="25" t="inlineStr">
        <is>
          <t>Maskinkostnad pr høne</t>
        </is>
      </c>
      <c r="B55" s="26" t="inlineStr">
        <is>
          <t>Utrekna</t>
        </is>
      </c>
      <c r="C55" s="39">
        <f>IF((C7)=0,0,(C21)/(C7))</f>
        <v/>
      </c>
      <c r="D55" s="28" t="inlineStr">
        <is>
          <t>kr</t>
        </is>
      </c>
      <c r="E55" s="29" t="inlineStr">
        <is>
          <t>Maskinkostnad pr høne = Maskinkostnader fordelt [C21] ÷ Tal høner [C7]</t>
        </is>
      </c>
      <c r="F55" s="30" t="inlineStr">
        <is>
          <t>=IF((C7)=0,0,(C21)/(C7))</t>
        </is>
      </c>
    </row>
    <row r="56">
      <c r="A56" s="25" t="inlineStr">
        <is>
          <t>Innandørsmekanisering pr høne</t>
        </is>
      </c>
      <c r="B56" s="26" t="inlineStr">
        <is>
          <t>Utrekna</t>
        </is>
      </c>
      <c r="C56" s="39">
        <f>IF((C7)=0,0,(C22)/(C7))</f>
        <v/>
      </c>
      <c r="D56" s="28" t="inlineStr">
        <is>
          <t>kr</t>
        </is>
      </c>
      <c r="E56" s="29" t="inlineStr">
        <is>
          <t>Innandørsmekanisering pr høne = Innandørsmekanisering fordelt [C22] ÷ Tal høner [C7]</t>
        </is>
      </c>
      <c r="F56" s="30" t="inlineStr">
        <is>
          <t>=IF((C7)=0,0,(C22)/(C7))</t>
        </is>
      </c>
    </row>
  </sheetData>
  <pageMargins left="0.75" right="0.75" top="1" bottom="1" header="0.5" footer="0.5"/>
  <pageSetup orientation="landscape" fitToHeight="0" fitToWidth="1"/>
</worksheet>
</file>

<file path=xl/worksheets/sheet25.xml><?xml version="1.0" encoding="utf-8"?>
<worksheet xmlns="http://schemas.openxmlformats.org/spreadsheetml/2006/main">
  <sheetPr>
    <outlinePr summaryBelow="1" summaryRight="1"/>
    <pageSetUpPr fitToPage="1"/>
  </sheetPr>
  <dimension ref="A1:F64"/>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0" customWidth="1" min="1" max="1"/>
    <col width="34" customWidth="1" min="2" max="2"/>
    <col width="16" customWidth="1" min="3" max="3"/>
    <col width="10" customWidth="1" min="4" max="4"/>
    <col width="78" customWidth="1" min="5" max="5"/>
    <col width="46" customWidth="1" min="6" max="6"/>
  </cols>
  <sheetData>
    <row r="1" ht="22" customHeight="1">
      <c r="A1" s="1" t="inlineStr">
        <is>
          <t>Slaktekylling  –  driftsgrein 6510-6511</t>
        </is>
      </c>
    </row>
    <row r="2">
      <c r="A2" s="7" t="inlineStr">
        <is>
          <t>Slaktekylling (driftsgrein 6510–6511).</t>
        </is>
      </c>
    </row>
    <row r="3">
      <c r="A3" s="8" t="inlineStr">
        <is>
          <t>Fargekodar:  blå tal på gul botn = input (skal fyllast inn)   ·   svart = formel   ·   grøn = lenkje frå anna ark.   Alle kronebeløp er positive (inntekt og kostnad).</t>
        </is>
      </c>
    </row>
    <row r="5">
      <c r="A5" s="17" t="inlineStr">
        <is>
          <t>Post</t>
        </is>
      </c>
      <c r="B5" s="17" t="inlineStr">
        <is>
          <t>Kjelde / Tripletex-konto</t>
        </is>
      </c>
      <c r="C5" s="17" t="inlineStr">
        <is>
          <t>Verdi</t>
        </is>
      </c>
      <c r="D5" s="17" t="inlineStr">
        <is>
          <t>Eining</t>
        </is>
      </c>
      <c r="E5" s="17" t="inlineStr">
        <is>
          <t>Formel forklart (korleis outputen blir rekna)</t>
        </is>
      </c>
      <c r="F5" s="17" t="inlineStr">
        <is>
          <t>Excel-formel</t>
        </is>
      </c>
    </row>
    <row r="6">
      <c r="A6" s="18" t="inlineStr">
        <is>
          <t>1. INPUT – Produksjonsdata (frå produksjonstabell / teljingar)</t>
        </is>
      </c>
      <c r="B6" s="19" t="n"/>
      <c r="C6" s="19" t="n"/>
      <c r="D6" s="19" t="n"/>
      <c r="E6" s="19" t="n"/>
      <c r="F6" s="19" t="n"/>
    </row>
    <row r="7">
      <c r="A7" s="20" t="inlineStr">
        <is>
          <t>Tal produserte kyllingar</t>
        </is>
      </c>
      <c r="B7" s="24" t="inlineStr">
        <is>
          <t>Produksjonstabell (EnhetAntall)</t>
        </is>
      </c>
      <c r="C7" s="31" t="n">
        <v>150000</v>
      </c>
      <c r="D7" s="12" t="inlineStr">
        <is>
          <t>stk</t>
        </is>
      </c>
      <c r="E7" s="24" t="inlineStr">
        <is>
          <t>Input. Hentast frå: Produksjonstabell (EnhetAntall).</t>
        </is>
      </c>
      <c r="F7" s="32" t="n"/>
    </row>
    <row r="8">
      <c r="A8" s="20" t="inlineStr">
        <is>
          <t>Kg slakt</t>
        </is>
      </c>
      <c r="B8" s="24" t="inlineStr">
        <is>
          <t>Mengde 2 på konto 3046 (.564/.565)</t>
        </is>
      </c>
      <c r="C8" s="31" t="n">
        <v>240000</v>
      </c>
      <c r="D8" s="12" t="inlineStr">
        <is>
          <t>kg</t>
        </is>
      </c>
      <c r="E8" s="24" t="inlineStr">
        <is>
          <t>Input. Hentast frå: Mengde 2 på konto 3046 (.564/.565).</t>
        </is>
      </c>
      <c r="F8" s="32" t="n"/>
    </row>
    <row r="9">
      <c r="A9" s="20" t="inlineStr">
        <is>
          <t>Tal slakta kyllingar</t>
        </is>
      </c>
      <c r="B9" s="24" t="inlineStr">
        <is>
          <t>Mengde 1 på konto 3046</t>
        </is>
      </c>
      <c r="C9" s="31" t="n">
        <v>148500</v>
      </c>
      <c r="D9" s="12" t="inlineStr">
        <is>
          <t>stk</t>
        </is>
      </c>
      <c r="E9" s="24" t="inlineStr">
        <is>
          <t>Input. Hentast frå: Mengde 1 på konto 3046.</t>
        </is>
      </c>
      <c r="F9" s="32" t="n"/>
    </row>
    <row r="10">
      <c r="A10" s="20" t="inlineStr">
        <is>
          <t>Tal kylling pr 1.1.</t>
        </is>
      </c>
      <c r="B10" s="24" t="inlineStr">
        <is>
          <t>1456.20.565 (IB)</t>
        </is>
      </c>
      <c r="C10" s="31" t="n">
        <v>0</v>
      </c>
      <c r="D10" s="12" t="inlineStr">
        <is>
          <t>stk</t>
        </is>
      </c>
      <c r="E10" s="24" t="inlineStr">
        <is>
          <t>Input. Hentast frå: 1456.20.565 (IB).</t>
        </is>
      </c>
      <c r="F10" s="32" t="n"/>
    </row>
    <row r="11">
      <c r="A11" s="20" t="inlineStr">
        <is>
          <t>Tal kylling pr 31.12.</t>
        </is>
      </c>
      <c r="B11" s="24" t="inlineStr">
        <is>
          <t>1456.20.565 (UB)</t>
        </is>
      </c>
      <c r="C11" s="31" t="n">
        <v>0</v>
      </c>
      <c r="D11" s="12" t="inlineStr">
        <is>
          <t>stk</t>
        </is>
      </c>
      <c r="E11" s="24" t="inlineStr">
        <is>
          <t>Input. Hentast frå: 1456.20.565 (UB).</t>
        </is>
      </c>
      <c r="F11" s="32" t="n"/>
    </row>
    <row r="12">
      <c r="A12" s="20" t="inlineStr">
        <is>
          <t>Tal selt til liv</t>
        </is>
      </c>
      <c r="B12" s="24" t="inlineStr">
        <is>
          <t>Mengde 1 på 3056</t>
        </is>
      </c>
      <c r="C12" s="31" t="n">
        <v>0</v>
      </c>
      <c r="D12" s="12" t="inlineStr">
        <is>
          <t>stk</t>
        </is>
      </c>
      <c r="E12" s="24" t="inlineStr">
        <is>
          <t>Input. Hentast frå: Mengde 1 på 3056.</t>
        </is>
      </c>
      <c r="F12" s="32" t="n"/>
    </row>
    <row r="13">
      <c r="A13" s="20" t="inlineStr">
        <is>
          <t>Tal kjøpte daggamle kyllingar</t>
        </is>
      </c>
      <c r="B13" s="24" t="inlineStr">
        <is>
          <t>Mengde 1 på 4660</t>
        </is>
      </c>
      <c r="C13" s="31" t="n">
        <v>150000</v>
      </c>
      <c r="D13" s="12" t="inlineStr">
        <is>
          <t>stk</t>
        </is>
      </c>
      <c r="E13" s="24" t="inlineStr">
        <is>
          <t>Input. Hentast frå: Mengde 1 på 4660.</t>
        </is>
      </c>
      <c r="F13" s="32" t="n"/>
    </row>
    <row r="14">
      <c r="A14" s="20" t="inlineStr">
        <is>
          <t>Husdyrrom</t>
        </is>
      </c>
      <c r="B14" s="24" t="inlineStr">
        <is>
          <t>Mengde 1 på 1060-1064</t>
        </is>
      </c>
      <c r="C14" s="31" t="n">
        <v>2000</v>
      </c>
      <c r="D14" s="12" t="inlineStr">
        <is>
          <t>m²</t>
        </is>
      </c>
      <c r="E14" s="24" t="inlineStr">
        <is>
          <t>Input. Hentast frå: Mengde 1 på 1060-1064.</t>
        </is>
      </c>
      <c r="F14" s="32" t="n"/>
    </row>
    <row r="15">
      <c r="A15" s="18" t="inlineStr">
        <is>
          <t>2. INPUT – Rekneskapstal (kr) frå saldobalansen etter korrigeringar</t>
        </is>
      </c>
      <c r="B15" s="19" t="n"/>
      <c r="C15" s="19" t="n"/>
      <c r="D15" s="19" t="n"/>
      <c r="E15" s="19" t="n"/>
      <c r="F15" s="19" t="n"/>
    </row>
    <row r="16">
      <c r="A16" s="20" t="inlineStr">
        <is>
          <t>Produksjonstilskot fordelt på produksjonen</t>
        </is>
      </c>
      <c r="B16" s="24" t="inlineStr">
        <is>
          <t>34xx (ikkje 344x avløysartilskot)</t>
        </is>
      </c>
      <c r="C16" s="31" t="n">
        <v>40000</v>
      </c>
      <c r="D16" s="12" t="inlineStr">
        <is>
          <t>kr</t>
        </is>
      </c>
      <c r="E16" s="24" t="inlineStr">
        <is>
          <t>Input. Hentast frå: 34xx (ikkje 344x avløysartilskot).</t>
        </is>
      </c>
      <c r="F16" s="32" t="n"/>
    </row>
    <row r="17">
      <c r="A17" s="20" t="inlineStr">
        <is>
          <t>Slakt</t>
        </is>
      </c>
      <c r="B17" s="24" t="inlineStr">
        <is>
          <t>3046 (.564/.565)</t>
        </is>
      </c>
      <c r="C17" s="31" t="n">
        <v>5040000</v>
      </c>
      <c r="D17" s="12" t="inlineStr">
        <is>
          <t>kr</t>
        </is>
      </c>
      <c r="E17" s="24" t="inlineStr">
        <is>
          <t>Input. Hentast frå: 3046 (.564/.565).</t>
        </is>
      </c>
      <c r="F17" s="32" t="n"/>
    </row>
    <row r="18">
      <c r="A18" s="20" t="inlineStr">
        <is>
          <t>Buskap, beholdningsendring (+ = auke)</t>
        </is>
      </c>
      <c r="B18" s="24" t="inlineStr">
        <is>
          <t>4696 (forteikn snudd)</t>
        </is>
      </c>
      <c r="C18" s="31" t="n">
        <v>0</v>
      </c>
      <c r="D18" s="12" t="inlineStr">
        <is>
          <t>kr</t>
        </is>
      </c>
      <c r="E18" s="24" t="inlineStr">
        <is>
          <t>Input. Hentast frå: 4696 (forteikn snudd).</t>
        </is>
      </c>
      <c r="F18" s="32" t="n"/>
    </row>
    <row r="19">
      <c r="A19" s="20" t="inlineStr">
        <is>
          <t>Andre inntekter</t>
        </is>
      </c>
      <c r="B19" s="24" t="inlineStr">
        <is>
          <t>andre 3xxx</t>
        </is>
      </c>
      <c r="C19" s="31" t="n">
        <v>0</v>
      </c>
      <c r="D19" s="12" t="inlineStr">
        <is>
          <t>kr</t>
        </is>
      </c>
      <c r="E19" s="24" t="inlineStr">
        <is>
          <t>Input. Hentast frå: andre 3xxx.</t>
        </is>
      </c>
      <c r="F19" s="32" t="n"/>
    </row>
    <row r="20">
      <c r="A20" s="18" t="inlineStr">
        <is>
          <t>Variable kostnader</t>
        </is>
      </c>
      <c r="B20" s="19" t="n"/>
      <c r="C20" s="19" t="n"/>
      <c r="D20" s="19" t="n"/>
      <c r="E20" s="19" t="n"/>
      <c r="F20" s="19" t="n"/>
    </row>
    <row r="21">
      <c r="A21" s="20" t="inlineStr">
        <is>
          <t>Kraftfôr mm.</t>
        </is>
      </c>
      <c r="B21" s="24" t="inlineStr">
        <is>
          <t>4020-4029, 4040-4049, 4092, 4094</t>
        </is>
      </c>
      <c r="C21" s="31" t="n">
        <v>2900000</v>
      </c>
      <c r="D21" s="12" t="inlineStr">
        <is>
          <t>kr</t>
        </is>
      </c>
      <c r="E21" s="24" t="inlineStr">
        <is>
          <t>Input. Hentast frå: 4020-4029, 4040-4049, 4092, 4094.</t>
        </is>
      </c>
      <c r="F21" s="32" t="n"/>
    </row>
    <row r="22">
      <c r="A22" s="20" t="inlineStr">
        <is>
          <t>Veterinær, medisin, inseminering</t>
        </is>
      </c>
      <c r="B22" s="24" t="inlineStr">
        <is>
          <t>4120, 4192, 4520-4529</t>
        </is>
      </c>
      <c r="C22" s="31" t="n">
        <v>40000</v>
      </c>
      <c r="D22" s="12" t="inlineStr">
        <is>
          <t>kr</t>
        </is>
      </c>
      <c r="E22" s="24" t="inlineStr">
        <is>
          <t>Input. Hentast frå: 4120, 4192, 4520-4529.</t>
        </is>
      </c>
      <c r="F22" s="32" t="n"/>
    </row>
    <row r="23">
      <c r="A23" s="20" t="inlineStr">
        <is>
          <t>Innkjøp dyr</t>
        </is>
      </c>
      <c r="B23" s="24" t="inlineStr">
        <is>
          <t>4600-4689</t>
        </is>
      </c>
      <c r="C23" s="31" t="n">
        <v>630000</v>
      </c>
      <c r="D23" s="12" t="inlineStr">
        <is>
          <t>kr</t>
        </is>
      </c>
      <c r="E23" s="24" t="inlineStr">
        <is>
          <t>Input. Hentast frå: 4600-4689.</t>
        </is>
      </c>
      <c r="F23" s="32" t="n"/>
    </row>
    <row r="24">
      <c r="A24" s="20" t="inlineStr">
        <is>
          <t>Andre variable kostnader</t>
        </is>
      </c>
      <c r="B24" s="24" t="inlineStr">
        <is>
          <t>4130-4139, 4193, 4530-4549, 4560-4569 + andre 4xxx</t>
        </is>
      </c>
      <c r="C24" s="31" t="n">
        <v>600000</v>
      </c>
      <c r="D24" s="12" t="inlineStr">
        <is>
          <t>kr</t>
        </is>
      </c>
      <c r="E24" s="24" t="inlineStr">
        <is>
          <t>Input. Hentast frå: 4130-4139, 4193, 4530-4549, 4560-4569 + andre 4xxx.</t>
        </is>
      </c>
      <c r="F24" s="32" t="n"/>
    </row>
    <row r="25">
      <c r="A25" s="18" t="inlineStr">
        <is>
          <t>3. INPUT – Fordelte faste kostnader (lenka frå arket «Faste kostnader»)</t>
        </is>
      </c>
      <c r="B25" s="19" t="n"/>
      <c r="C25" s="19" t="n"/>
      <c r="D25" s="19" t="n"/>
      <c r="E25" s="19" t="n"/>
      <c r="F25" s="19" t="n"/>
    </row>
    <row r="26">
      <c r="A26" s="20" t="inlineStr">
        <is>
          <t>Maskinkostnader fordelt</t>
        </is>
      </c>
      <c r="B26" s="21" t="inlineStr">
        <is>
          <t>Lenkje frå anna ark</t>
        </is>
      </c>
      <c r="C26" s="13">
        <f>'Faste kostnader'!C56</f>
        <v/>
      </c>
      <c r="D26" s="12" t="inlineStr">
        <is>
          <t>kr</t>
        </is>
      </c>
      <c r="E26" s="23" t="inlineStr">
        <is>
          <t>Maskinkostnader fordelt = Maskinkostnader – Slaktekylling [Faste kostnader!C56]</t>
        </is>
      </c>
      <c r="F26" s="24" t="inlineStr">
        <is>
          <t>='Faste kostnader'!C56</t>
        </is>
      </c>
    </row>
    <row r="27">
      <c r="A27" s="20" t="inlineStr">
        <is>
          <t>Innandørsmekanisering fordelt</t>
        </is>
      </c>
      <c r="B27" s="21" t="inlineStr">
        <is>
          <t>Lenkje frå anna ark</t>
        </is>
      </c>
      <c r="C27" s="13">
        <f>'Faste kostnader'!C87</f>
        <v/>
      </c>
      <c r="D27" s="12" t="inlineStr">
        <is>
          <t>kr</t>
        </is>
      </c>
      <c r="E27" s="23" t="inlineStr">
        <is>
          <t>Innandørsmekanisering fordelt = Innandørsmekanisering – Slaktekylling [Faste kostnader!C87]</t>
        </is>
      </c>
      <c r="F27" s="24" t="inlineStr">
        <is>
          <t>='Faste kostnader'!C87</t>
        </is>
      </c>
    </row>
    <row r="28">
      <c r="A28" s="18" t="inlineStr">
        <is>
          <t>4. UTREKNING – Totalt for produksjonen</t>
        </is>
      </c>
      <c r="B28" s="19" t="n"/>
      <c r="C28" s="19" t="n"/>
      <c r="D28" s="19" t="n"/>
      <c r="E28" s="19" t="n"/>
      <c r="F28" s="19" t="n"/>
    </row>
    <row r="29">
      <c r="A29" s="20" t="inlineStr">
        <is>
          <t>Produksjonsinntekter i alt</t>
        </is>
      </c>
      <c r="B29" s="21" t="inlineStr">
        <is>
          <t>Utrekna</t>
        </is>
      </c>
      <c r="C29" s="22">
        <f>C17+C18+C19</f>
        <v/>
      </c>
      <c r="D29" s="12" t="inlineStr">
        <is>
          <t>kr</t>
        </is>
      </c>
      <c r="E29" s="23" t="inlineStr">
        <is>
          <t>Produksjonsinntekter i alt = Slakt [C17] + Buskap, beholdningsendring (+ = auke) [C18] + Andre inntekter [C19]</t>
        </is>
      </c>
      <c r="F29" s="24" t="inlineStr">
        <is>
          <t>=C17+C18+C19</t>
        </is>
      </c>
    </row>
    <row r="30">
      <c r="A30" s="20" t="inlineStr">
        <is>
          <t>Variable kostnader i alt</t>
        </is>
      </c>
      <c r="B30" s="21" t="inlineStr">
        <is>
          <t>Utrekna</t>
        </is>
      </c>
      <c r="C30" s="22">
        <f>C21+C22+C23+C24</f>
        <v/>
      </c>
      <c r="D30" s="12" t="inlineStr">
        <is>
          <t>kr</t>
        </is>
      </c>
      <c r="E30" s="23" t="inlineStr">
        <is>
          <t>Variable kostnader i alt = Kraftfôr mm. [C21] + Veterinær, medisin, inseminering [C22] + Innkjøp dyr [C23] + Andre variable kostnader [C24]</t>
        </is>
      </c>
      <c r="F30" s="24" t="inlineStr">
        <is>
          <t>=C21+C22+C23+C24</t>
        </is>
      </c>
    </row>
    <row r="31">
      <c r="A31" s="25" t="inlineStr">
        <is>
          <t>Dekningsbidrag (DB) utan tilskot</t>
        </is>
      </c>
      <c r="B31" s="26" t="inlineStr">
        <is>
          <t>Utrekna</t>
        </is>
      </c>
      <c r="C31" s="27">
        <f>C29-C30</f>
        <v/>
      </c>
      <c r="D31" s="28" t="inlineStr">
        <is>
          <t>kr</t>
        </is>
      </c>
      <c r="E31" s="29" t="inlineStr">
        <is>
          <t>Dekningsbidrag (DB) utan tilskot = Produksjonsinntekter i alt [C29] − Variable kostnader i alt [C30]</t>
        </is>
      </c>
      <c r="F31" s="30" t="inlineStr">
        <is>
          <t>=C29-C30</t>
        </is>
      </c>
    </row>
    <row r="32">
      <c r="A32" s="25" t="inlineStr">
        <is>
          <t>Dekningsbidrag (DB) med tilskot</t>
        </is>
      </c>
      <c r="B32" s="26" t="inlineStr">
        <is>
          <t>Utrekna</t>
        </is>
      </c>
      <c r="C32" s="27">
        <f>C31+C16</f>
        <v/>
      </c>
      <c r="D32" s="28" t="inlineStr">
        <is>
          <t>kr</t>
        </is>
      </c>
      <c r="E32" s="29" t="inlineStr">
        <is>
          <t>Dekningsbidrag (DB) med tilskot = Dekningsbidrag (DB) utan tilskot [C31] + Produksjonstilskot fordelt på produksjonen [C16]</t>
        </is>
      </c>
      <c r="F32" s="30" t="inlineStr">
        <is>
          <t>=C31+C16</t>
        </is>
      </c>
    </row>
    <row r="33">
      <c r="A33" s="20" t="inlineStr">
        <is>
          <t>DB m/tilskot etter maskin- og innandørskostnad</t>
        </is>
      </c>
      <c r="B33" s="21" t="inlineStr">
        <is>
          <t>Utrekna</t>
        </is>
      </c>
      <c r="C33" s="22">
        <f>C32-C26-C27</f>
        <v/>
      </c>
      <c r="D33" s="12" t="inlineStr">
        <is>
          <t>kr</t>
        </is>
      </c>
      <c r="E33" s="23" t="inlineStr">
        <is>
          <t>DB m/tilskot etter maskin- og innandørskostnad = Dekningsbidrag (DB) med tilskot [C32] − Maskinkostnader fordelt [C26] − Innandørsmekanisering fordelt [C27]</t>
        </is>
      </c>
      <c r="F33" s="24" t="inlineStr">
        <is>
          <t>=C32-C26-C27</t>
        </is>
      </c>
    </row>
    <row r="34">
      <c r="A34" s="18" t="inlineStr">
        <is>
          <t>5. OUTPUT – Per eining (pr kylling)</t>
        </is>
      </c>
      <c r="B34" s="19" t="n"/>
      <c r="C34" s="19" t="n"/>
      <c r="D34" s="19" t="n"/>
      <c r="E34" s="19" t="n"/>
      <c r="F34" s="19" t="n"/>
    </row>
    <row r="35">
      <c r="A35" s="18" t="inlineStr">
        <is>
          <t>Produksjonsinntekter pr kylling</t>
        </is>
      </c>
      <c r="B35" s="19" t="n"/>
      <c r="C35" s="19" t="n"/>
      <c r="D35" s="19" t="n"/>
      <c r="E35" s="19" t="n"/>
      <c r="F35" s="19" t="n"/>
    </row>
    <row r="36">
      <c r="A36" s="20" t="inlineStr">
        <is>
          <t>Slakt</t>
        </is>
      </c>
      <c r="B36" s="21" t="inlineStr">
        <is>
          <t>Utrekna</t>
        </is>
      </c>
      <c r="C36" s="38">
        <f>IF((C7)=0,0,(C17)/(C7))</f>
        <v/>
      </c>
      <c r="D36" s="12" t="inlineStr">
        <is>
          <t>kr</t>
        </is>
      </c>
      <c r="E36" s="23" t="inlineStr">
        <is>
          <t>Slakt = Slakt [C17] ÷ Tal produserte kyllingar [C7]</t>
        </is>
      </c>
      <c r="F36" s="24" t="inlineStr">
        <is>
          <t>=IF((C7)=0,0,(C17)/(C7))</t>
        </is>
      </c>
    </row>
    <row r="37">
      <c r="A37" s="20" t="inlineStr">
        <is>
          <t>Buskap, beholdningsendring (+ = auke)</t>
        </is>
      </c>
      <c r="B37" s="21" t="inlineStr">
        <is>
          <t>Utrekna</t>
        </is>
      </c>
      <c r="C37" s="38">
        <f>IF((C7)=0,0,(C18)/(C7))</f>
        <v/>
      </c>
      <c r="D37" s="12" t="inlineStr">
        <is>
          <t>kr</t>
        </is>
      </c>
      <c r="E37" s="23" t="inlineStr">
        <is>
          <t>Buskap, beholdningsendring (+ = auke) = Buskap, beholdningsendring (+ = auke) [C18] ÷ Tal produserte kyllingar [C7]</t>
        </is>
      </c>
      <c r="F37" s="24" t="inlineStr">
        <is>
          <t>=IF((C7)=0,0,(C18)/(C7))</t>
        </is>
      </c>
    </row>
    <row r="38">
      <c r="A38" s="20" t="inlineStr">
        <is>
          <t>Andre inntekter</t>
        </is>
      </c>
      <c r="B38" s="21" t="inlineStr">
        <is>
          <t>Utrekna</t>
        </is>
      </c>
      <c r="C38" s="38">
        <f>IF((C7)=0,0,(C19)/(C7))</f>
        <v/>
      </c>
      <c r="D38" s="12" t="inlineStr">
        <is>
          <t>kr</t>
        </is>
      </c>
      <c r="E38" s="23" t="inlineStr">
        <is>
          <t>Andre inntekter = Andre inntekter [C19] ÷ Tal produserte kyllingar [C7]</t>
        </is>
      </c>
      <c r="F38" s="24" t="inlineStr">
        <is>
          <t>=IF((C7)=0,0,(C19)/(C7))</t>
        </is>
      </c>
    </row>
    <row r="39">
      <c r="A39" s="20" t="inlineStr">
        <is>
          <t>Produksjonsinntekter i alt</t>
        </is>
      </c>
      <c r="B39" s="21" t="inlineStr">
        <is>
          <t>Utrekna</t>
        </is>
      </c>
      <c r="C39" s="38">
        <f>IF((C7)=0,0,(C29)/(C7))</f>
        <v/>
      </c>
      <c r="D39" s="12" t="inlineStr">
        <is>
          <t>kr</t>
        </is>
      </c>
      <c r="E39" s="23" t="inlineStr">
        <is>
          <t>Produksjonsinntekter i alt = Produksjonsinntekter i alt [C29] ÷ Tal produserte kyllingar [C7]</t>
        </is>
      </c>
      <c r="F39" s="24" t="inlineStr">
        <is>
          <t>=IF((C7)=0,0,(C29)/(C7))</t>
        </is>
      </c>
    </row>
    <row r="40">
      <c r="A40" s="18" t="inlineStr">
        <is>
          <t>Variable kostnader pr kylling</t>
        </is>
      </c>
      <c r="B40" s="19" t="n"/>
      <c r="C40" s="19" t="n"/>
      <c r="D40" s="19" t="n"/>
      <c r="E40" s="19" t="n"/>
      <c r="F40" s="19" t="n"/>
    </row>
    <row r="41">
      <c r="A41" s="20" t="inlineStr">
        <is>
          <t>Kraftfôr mm.</t>
        </is>
      </c>
      <c r="B41" s="21" t="inlineStr">
        <is>
          <t>Utrekna</t>
        </is>
      </c>
      <c r="C41" s="38">
        <f>IF((C7)=0,0,(C21)/(C7))</f>
        <v/>
      </c>
      <c r="D41" s="12" t="inlineStr">
        <is>
          <t>kr</t>
        </is>
      </c>
      <c r="E41" s="23" t="inlineStr">
        <is>
          <t>Kraftfôr mm. = Kraftfôr mm. [C21] ÷ Tal produserte kyllingar [C7]</t>
        </is>
      </c>
      <c r="F41" s="24" t="inlineStr">
        <is>
          <t>=IF((C7)=0,0,(C21)/(C7))</t>
        </is>
      </c>
    </row>
    <row r="42">
      <c r="A42" s="20" t="inlineStr">
        <is>
          <t>Veterinær, medisin, inseminering</t>
        </is>
      </c>
      <c r="B42" s="21" t="inlineStr">
        <is>
          <t>Utrekna</t>
        </is>
      </c>
      <c r="C42" s="38">
        <f>IF((C7)=0,0,(C22)/(C7))</f>
        <v/>
      </c>
      <c r="D42" s="12" t="inlineStr">
        <is>
          <t>kr</t>
        </is>
      </c>
      <c r="E42" s="23" t="inlineStr">
        <is>
          <t>Veterinær, medisin, inseminering = Veterinær, medisin, inseminering [C22] ÷ Tal produserte kyllingar [C7]</t>
        </is>
      </c>
      <c r="F42" s="24" t="inlineStr">
        <is>
          <t>=IF((C7)=0,0,(C22)/(C7))</t>
        </is>
      </c>
    </row>
    <row r="43">
      <c r="A43" s="20" t="inlineStr">
        <is>
          <t>Innkjøp dyr</t>
        </is>
      </c>
      <c r="B43" s="21" t="inlineStr">
        <is>
          <t>Utrekna</t>
        </is>
      </c>
      <c r="C43" s="38">
        <f>IF((C7)=0,0,(C23)/(C7))</f>
        <v/>
      </c>
      <c r="D43" s="12" t="inlineStr">
        <is>
          <t>kr</t>
        </is>
      </c>
      <c r="E43" s="23" t="inlineStr">
        <is>
          <t>Innkjøp dyr = Innkjøp dyr [C23] ÷ Tal produserte kyllingar [C7]</t>
        </is>
      </c>
      <c r="F43" s="24" t="inlineStr">
        <is>
          <t>=IF((C7)=0,0,(C23)/(C7))</t>
        </is>
      </c>
    </row>
    <row r="44">
      <c r="A44" s="20" t="inlineStr">
        <is>
          <t>Andre variable kostnader</t>
        </is>
      </c>
      <c r="B44" s="21" t="inlineStr">
        <is>
          <t>Utrekna</t>
        </is>
      </c>
      <c r="C44" s="38">
        <f>IF((C7)=0,0,(C24)/(C7))</f>
        <v/>
      </c>
      <c r="D44" s="12" t="inlineStr">
        <is>
          <t>kr</t>
        </is>
      </c>
      <c r="E44" s="23" t="inlineStr">
        <is>
          <t>Andre variable kostnader = Andre variable kostnader [C24] ÷ Tal produserte kyllingar [C7]</t>
        </is>
      </c>
      <c r="F44" s="24" t="inlineStr">
        <is>
          <t>=IF((C7)=0,0,(C24)/(C7))</t>
        </is>
      </c>
    </row>
    <row r="45">
      <c r="A45" s="20" t="inlineStr">
        <is>
          <t>Sum variable kostnader</t>
        </is>
      </c>
      <c r="B45" s="21" t="inlineStr">
        <is>
          <t>Utrekna</t>
        </is>
      </c>
      <c r="C45" s="38">
        <f>IF((C7)=0,0,(C30)/(C7))</f>
        <v/>
      </c>
      <c r="D45" s="12" t="inlineStr">
        <is>
          <t>kr</t>
        </is>
      </c>
      <c r="E45" s="23" t="inlineStr">
        <is>
          <t>Sum variable kostnader = Variable kostnader i alt [C30] ÷ Tal produserte kyllingar [C7]</t>
        </is>
      </c>
      <c r="F45" s="24" t="inlineStr">
        <is>
          <t>=IF((C7)=0,0,(C30)/(C7))</t>
        </is>
      </c>
    </row>
    <row r="46">
      <c r="A46" s="18" t="inlineStr">
        <is>
          <t>Resultat pr kylling</t>
        </is>
      </c>
      <c r="B46" s="19" t="n"/>
      <c r="C46" s="19" t="n"/>
      <c r="D46" s="19" t="n"/>
      <c r="E46" s="19" t="n"/>
      <c r="F46" s="19" t="n"/>
    </row>
    <row r="47">
      <c r="A47" s="20" t="inlineStr">
        <is>
          <t>DB utan tilskot</t>
        </is>
      </c>
      <c r="B47" s="21" t="inlineStr">
        <is>
          <t>Utrekna</t>
        </is>
      </c>
      <c r="C47" s="38">
        <f>IF((C7)=0,0,(C31)/(C7))</f>
        <v/>
      </c>
      <c r="D47" s="12" t="inlineStr">
        <is>
          <t>kr</t>
        </is>
      </c>
      <c r="E47" s="23" t="inlineStr">
        <is>
          <t>DB utan tilskot = Dekningsbidrag (DB) utan tilskot [C31] ÷ Tal produserte kyllingar [C7]</t>
        </is>
      </c>
      <c r="F47" s="24" t="inlineStr">
        <is>
          <t>=IF((C7)=0,0,(C31)/(C7))</t>
        </is>
      </c>
    </row>
    <row r="48">
      <c r="A48" s="20" t="inlineStr">
        <is>
          <t>Tilskot</t>
        </is>
      </c>
      <c r="B48" s="21" t="inlineStr">
        <is>
          <t>Utrekna</t>
        </is>
      </c>
      <c r="C48" s="38">
        <f>IF((C7)=0,0,(C16)/(C7))</f>
        <v/>
      </c>
      <c r="D48" s="12" t="inlineStr">
        <is>
          <t>kr</t>
        </is>
      </c>
      <c r="E48" s="23" t="inlineStr">
        <is>
          <t>Tilskot = Produksjonstilskot fordelt på produksjonen [C16] ÷ Tal produserte kyllingar [C7]</t>
        </is>
      </c>
      <c r="F48" s="24" t="inlineStr">
        <is>
          <t>=IF((C7)=0,0,(C16)/(C7))</t>
        </is>
      </c>
    </row>
    <row r="49">
      <c r="A49" s="20" t="inlineStr">
        <is>
          <t>DB med tilskot</t>
        </is>
      </c>
      <c r="B49" s="21" t="inlineStr">
        <is>
          <t>Utrekna</t>
        </is>
      </c>
      <c r="C49" s="38">
        <f>IF((C7)=0,0,(C32)/(C7))</f>
        <v/>
      </c>
      <c r="D49" s="12" t="inlineStr">
        <is>
          <t>kr</t>
        </is>
      </c>
      <c r="E49" s="23" t="inlineStr">
        <is>
          <t>DB med tilskot = Dekningsbidrag (DB) med tilskot [C32] ÷ Tal produserte kyllingar [C7]</t>
        </is>
      </c>
      <c r="F49" s="24" t="inlineStr">
        <is>
          <t>=IF((C7)=0,0,(C32)/(C7))</t>
        </is>
      </c>
    </row>
    <row r="50">
      <c r="A50" s="20" t="inlineStr">
        <is>
          <t>Maskinkostnader</t>
        </is>
      </c>
      <c r="B50" s="21" t="inlineStr">
        <is>
          <t>Utrekna</t>
        </is>
      </c>
      <c r="C50" s="38">
        <f>IF((C7)=0,0,(C26)/(C7))</f>
        <v/>
      </c>
      <c r="D50" s="12" t="inlineStr">
        <is>
          <t>kr</t>
        </is>
      </c>
      <c r="E50" s="23" t="inlineStr">
        <is>
          <t>Maskinkostnader = Maskinkostnader fordelt [C26] ÷ Tal produserte kyllingar [C7]</t>
        </is>
      </c>
      <c r="F50" s="24" t="inlineStr">
        <is>
          <t>=IF((C7)=0,0,(C26)/(C7))</t>
        </is>
      </c>
    </row>
    <row r="51">
      <c r="A51" s="20" t="inlineStr">
        <is>
          <t>Innandørsmekanisering</t>
        </is>
      </c>
      <c r="B51" s="21" t="inlineStr">
        <is>
          <t>Utrekna</t>
        </is>
      </c>
      <c r="C51" s="38">
        <f>IF((C7)=0,0,(C27)/(C7))</f>
        <v/>
      </c>
      <c r="D51" s="12" t="inlineStr">
        <is>
          <t>kr</t>
        </is>
      </c>
      <c r="E51" s="23" t="inlineStr">
        <is>
          <t>Innandørsmekanisering = Innandørsmekanisering fordelt [C27] ÷ Tal produserte kyllingar [C7]</t>
        </is>
      </c>
      <c r="F51" s="24" t="inlineStr">
        <is>
          <t>=IF((C7)=0,0,(C27)/(C7))</t>
        </is>
      </c>
    </row>
    <row r="52">
      <c r="A52" s="20" t="inlineStr">
        <is>
          <t>DB m/tilskot etter maskin og innandørsmek.</t>
        </is>
      </c>
      <c r="B52" s="21" t="inlineStr">
        <is>
          <t>Utrekna</t>
        </is>
      </c>
      <c r="C52" s="38">
        <f>IF((C7)=0,0,(C33)/(C7))</f>
        <v/>
      </c>
      <c r="D52" s="12" t="inlineStr">
        <is>
          <t>kr</t>
        </is>
      </c>
      <c r="E52" s="23" t="inlineStr">
        <is>
          <t>DB m/tilskot etter maskin og innandørsmek. = DB m/tilskot etter maskin- og innandørskostnad [C33] ÷ Tal produserte kyllingar [C7]</t>
        </is>
      </c>
      <c r="F52" s="24" t="inlineStr">
        <is>
          <t>=IF((C7)=0,0,(C33)/(C7))</t>
        </is>
      </c>
    </row>
    <row r="53">
      <c r="A53" s="18" t="inlineStr">
        <is>
          <t>6. OUTPUT – Nøkkeltal</t>
        </is>
      </c>
      <c r="B53" s="19" t="n"/>
      <c r="C53" s="19" t="n"/>
      <c r="D53" s="19" t="n"/>
      <c r="E53" s="19" t="n"/>
      <c r="F53" s="19" t="n"/>
    </row>
    <row r="54">
      <c r="A54" s="25" t="inlineStr">
        <is>
          <t>DB pr kylling u/tilskot</t>
        </is>
      </c>
      <c r="B54" s="26" t="inlineStr">
        <is>
          <t>Utrekna</t>
        </is>
      </c>
      <c r="C54" s="39">
        <f>IF((C7)=0,0,(C31)/(C7))</f>
        <v/>
      </c>
      <c r="D54" s="28" t="inlineStr">
        <is>
          <t>kr</t>
        </is>
      </c>
      <c r="E54" s="29" t="inlineStr">
        <is>
          <t>DB pr kylling u/tilskot = Dekningsbidrag (DB) utan tilskot [C31] ÷ Tal produserte kyllingar [C7]</t>
        </is>
      </c>
      <c r="F54" s="30" t="inlineStr">
        <is>
          <t>=IF((C7)=0,0,(C31)/(C7))</t>
        </is>
      </c>
    </row>
    <row r="55">
      <c r="A55" s="25" t="inlineStr">
        <is>
          <t>DB pr kylling m/tilskot</t>
        </is>
      </c>
      <c r="B55" s="26" t="inlineStr">
        <is>
          <t>Utrekna</t>
        </is>
      </c>
      <c r="C55" s="39">
        <f>IF((C7)=0,0,(C32)/(C7))</f>
        <v/>
      </c>
      <c r="D55" s="28" t="inlineStr">
        <is>
          <t>kr</t>
        </is>
      </c>
      <c r="E55" s="29" t="inlineStr">
        <is>
          <t>DB pr kylling m/tilskot = Dekningsbidrag (DB) med tilskot [C32] ÷ Tal produserte kyllingar [C7]</t>
        </is>
      </c>
      <c r="F55" s="30" t="inlineStr">
        <is>
          <t>=IF((C7)=0,0,(C32)/(C7))</t>
        </is>
      </c>
    </row>
    <row r="56">
      <c r="A56" s="25" t="inlineStr">
        <is>
          <t>DB pr m² husdyrrom</t>
        </is>
      </c>
      <c r="B56" s="26" t="inlineStr">
        <is>
          <t>Utrekna</t>
        </is>
      </c>
      <c r="C56" s="39">
        <f>IF((C14)=0,0,(C31)/(C14))</f>
        <v/>
      </c>
      <c r="D56" s="28" t="inlineStr">
        <is>
          <t>kr</t>
        </is>
      </c>
      <c r="E56" s="29" t="inlineStr">
        <is>
          <t>DB pr m² husdyrrom = Dekningsbidrag (DB) utan tilskot [C31] ÷ Husdyrrom [C14]</t>
        </is>
      </c>
      <c r="F56" s="30" t="inlineStr">
        <is>
          <t>=IF((C14)=0,0,(C31)/(C14))</t>
        </is>
      </c>
    </row>
    <row r="57">
      <c r="A57" s="25" t="inlineStr">
        <is>
          <t>Oppnådd pris pr kg kjøt</t>
        </is>
      </c>
      <c r="B57" s="26" t="inlineStr">
        <is>
          <t>Utrekna</t>
        </is>
      </c>
      <c r="C57" s="39">
        <f>IF((C8)=0,0,(C17)/(C8))</f>
        <v/>
      </c>
      <c r="D57" s="28" t="inlineStr">
        <is>
          <t>kr</t>
        </is>
      </c>
      <c r="E57" s="29" t="inlineStr">
        <is>
          <t>Oppnådd pris pr kg kjøt = Slakt [C17] ÷ Kg slakt [C8]</t>
        </is>
      </c>
      <c r="F57" s="30" t="inlineStr">
        <is>
          <t>=IF((C8)=0,0,(C17)/(C8))</t>
        </is>
      </c>
    </row>
    <row r="58">
      <c r="A58" s="25" t="inlineStr">
        <is>
          <t>Oppnådd pris pr slaktekylling</t>
        </is>
      </c>
      <c r="B58" s="26" t="inlineStr">
        <is>
          <t>Utrekna</t>
        </is>
      </c>
      <c r="C58" s="39">
        <f>IF((C9)=0,0,(C17)/(C9))</f>
        <v/>
      </c>
      <c r="D58" s="28" t="inlineStr">
        <is>
          <t>kr</t>
        </is>
      </c>
      <c r="E58" s="29" t="inlineStr">
        <is>
          <t>Oppnådd pris pr slaktekylling = Slakt [C17] ÷ Tal slakta kyllingar [C9]</t>
        </is>
      </c>
      <c r="F58" s="30" t="inlineStr">
        <is>
          <t>=IF((C9)=0,0,(C17)/(C9))</t>
        </is>
      </c>
    </row>
    <row r="59">
      <c r="A59" s="25" t="inlineStr">
        <is>
          <t>Snitt kjøpspris pr kylling</t>
        </is>
      </c>
      <c r="B59" s="26" t="inlineStr">
        <is>
          <t>Utrekna</t>
        </is>
      </c>
      <c r="C59" s="39">
        <f>IF((C13)=0,0,(C23)/(C13))</f>
        <v/>
      </c>
      <c r="D59" s="28" t="inlineStr">
        <is>
          <t>kr</t>
        </is>
      </c>
      <c r="E59" s="29" t="inlineStr">
        <is>
          <t>Snitt kjøpspris pr kylling = Innkjøp dyr [C23] ÷ Tal kjøpte daggamle kyllingar [C13]</t>
        </is>
      </c>
      <c r="F59" s="30" t="inlineStr">
        <is>
          <t>=IF((C13)=0,0,(C23)/(C13))</t>
        </is>
      </c>
    </row>
    <row r="60">
      <c r="A60" s="25" t="inlineStr">
        <is>
          <t>Differanse slakt / kjøp pr kylling</t>
        </is>
      </c>
      <c r="B60" s="26" t="inlineStr">
        <is>
          <t>Utrekna</t>
        </is>
      </c>
      <c r="C60" s="39">
        <f>IF((C9)=0,0,(C17)/(C9))-IF((C13)=0,0,(C23)/(C13))</f>
        <v/>
      </c>
      <c r="D60" s="28" t="inlineStr">
        <is>
          <t>kr</t>
        </is>
      </c>
      <c r="E60" s="29" t="inlineStr">
        <is>
          <t>Differanse slakt / kjøp pr kylling = Slakt [C17] ÷ Tal slakta kyllingar [C9] − Innkjøp dyr [C23] ÷ Tal kjøpte daggamle kyllingar [C13]</t>
        </is>
      </c>
      <c r="F60" s="30" t="inlineStr">
        <is>
          <t>=IF((C9)=0,0,(C17)/(C9))-IF((C13)=0,0,(C23)/(C13))</t>
        </is>
      </c>
    </row>
    <row r="61">
      <c r="A61" s="25" t="inlineStr">
        <is>
          <t>Slaktevekt pr kylling (kg)</t>
        </is>
      </c>
      <c r="B61" s="26" t="inlineStr">
        <is>
          <t>Utrekna</t>
        </is>
      </c>
      <c r="C61" s="39">
        <f>IF((C9)=0,0,(C8)/(C9))</f>
        <v/>
      </c>
      <c r="D61" s="28" t="inlineStr">
        <is>
          <t>kg</t>
        </is>
      </c>
      <c r="E61" s="29" t="inlineStr">
        <is>
          <t>Slaktevekt pr kylling (kg) = Kg slakt [C8] ÷ Tal slakta kyllingar [C9]</t>
        </is>
      </c>
      <c r="F61" s="30" t="inlineStr">
        <is>
          <t>=IF((C9)=0,0,(C8)/(C9))</t>
        </is>
      </c>
    </row>
    <row r="62">
      <c r="A62" s="25" t="inlineStr">
        <is>
          <t>Tapsprosent</t>
        </is>
      </c>
      <c r="B62" s="26" t="inlineStr">
        <is>
          <t>Utrekna</t>
        </is>
      </c>
      <c r="C62" s="33">
        <f>MAX(0,IF((C10+C13)=0,0,((C10+C13)-(C9+C11+C12))/(C10+C13)))</f>
        <v/>
      </c>
      <c r="D62" s="28" t="inlineStr">
        <is>
          <t>%</t>
        </is>
      </c>
      <c r="E62" s="29" t="inlineStr">
        <is>
          <t>Tapsprosent = MAKS(0; ((Tal kylling pr 1.1. [C10] + Tal kjøpte daggamle kyllingar [C13]) − (Tal slakta kyllingar [C9] + Tal kylling pr 31.12. [C11] + Tal selt til liv [C12])) ÷ (Tal kylling pr 1.1. [C10] + Tal kjøpte daggamle kyllingar [C13]))</t>
        </is>
      </c>
      <c r="F62" s="30" t="inlineStr">
        <is>
          <t>=MAX(0,IF((C10+C13)=0,0,((C10+C13)-(C9+C11+C12))/(C10+C13)))</t>
        </is>
      </c>
    </row>
    <row r="63">
      <c r="A63" s="25" t="inlineStr">
        <is>
          <t>Maskinkostnad pr kylling</t>
        </is>
      </c>
      <c r="B63" s="26" t="inlineStr">
        <is>
          <t>Utrekna</t>
        </is>
      </c>
      <c r="C63" s="39">
        <f>IF((C7)=0,0,(C26)/(C7))</f>
        <v/>
      </c>
      <c r="D63" s="28" t="inlineStr">
        <is>
          <t>kr</t>
        </is>
      </c>
      <c r="E63" s="29" t="inlineStr">
        <is>
          <t>Maskinkostnad pr kylling = Maskinkostnader fordelt [C26] ÷ Tal produserte kyllingar [C7]</t>
        </is>
      </c>
      <c r="F63" s="30" t="inlineStr">
        <is>
          <t>=IF((C7)=0,0,(C26)/(C7))</t>
        </is>
      </c>
    </row>
    <row r="64">
      <c r="A64" s="25" t="inlineStr">
        <is>
          <t>Innandørsmekanisering pr kylling</t>
        </is>
      </c>
      <c r="B64" s="26" t="inlineStr">
        <is>
          <t>Utrekna</t>
        </is>
      </c>
      <c r="C64" s="39">
        <f>IF((C7)=0,0,(C27)/(C7))</f>
        <v/>
      </c>
      <c r="D64" s="28" t="inlineStr">
        <is>
          <t>kr</t>
        </is>
      </c>
      <c r="E64" s="29" t="inlineStr">
        <is>
          <t>Innandørsmekanisering pr kylling = Innandørsmekanisering fordelt [C27] ÷ Tal produserte kyllingar [C7]</t>
        </is>
      </c>
      <c r="F64" s="30" t="inlineStr">
        <is>
          <t>=IF((C7)=0,0,(C27)/(C7))</t>
        </is>
      </c>
    </row>
  </sheetData>
  <pageMargins left="0.75" right="0.75" top="1" bottom="1" header="0.5" footer="0.5"/>
  <pageSetup orientation="landscape" fitToHeight="0" fitToWidth="1"/>
</worksheet>
</file>

<file path=xl/worksheets/sheet26.xml><?xml version="1.0" encoding="utf-8"?>
<worksheet xmlns="http://schemas.openxmlformats.org/spreadsheetml/2006/main">
  <sheetPr>
    <outlinePr summaryBelow="1" summaryRight="1"/>
    <pageSetUpPr/>
  </sheetPr>
  <dimension ref="A1:E306"/>
  <sheetViews>
    <sheetView showGridLines="0" workbookViewId="0">
      <selection activeCell="A1" sqref="A1"/>
    </sheetView>
  </sheetViews>
  <sheetFormatPr baseColWidth="8" defaultRowHeight="15"/>
  <cols>
    <col width="22" customWidth="1" min="1" max="1"/>
    <col width="46" customWidth="1" min="2" max="2"/>
    <col width="46" customWidth="1" min="3" max="3"/>
    <col width="14" customWidth="1" min="4" max="4"/>
    <col width="40" customWidth="1" min="5" max="5"/>
  </cols>
  <sheetData>
    <row r="1" ht="22" customHeight="1">
      <c r="A1" s="1" t="inlineStr">
        <is>
          <t>Kopling Tripletex-konto → post og produksjon</t>
        </is>
      </c>
    </row>
    <row r="2">
      <c r="A2" s="7" t="inlineStr">
        <is>
          <t>Brukt av HTML-appen når saldobalansen blir importert. Kontoane er 4-sifra basekonto i jordbruksavdelinga (.20).</t>
        </is>
      </c>
    </row>
    <row r="3">
      <c r="A3" s="8" t="inlineStr">
        <is>
          <t>Fargekodar:  blå tal på gul botn = input (skal fyllast inn)   ·   svart = formel   ·   grøn = lenkje frå anna ark.   Alle kronebeløp er positive (inntekt og kostnad).</t>
        </is>
      </c>
    </row>
    <row r="5">
      <c r="A5" s="43" t="inlineStr">
        <is>
          <t>Produksjon / ark</t>
        </is>
      </c>
      <c r="B5" s="43" t="inlineStr">
        <is>
          <t>Post</t>
        </is>
      </c>
      <c r="C5" s="43" t="inlineStr">
        <is>
          <t>Tripletex-kontoar</t>
        </is>
      </c>
      <c r="D5" s="43" t="inlineStr">
        <is>
          <t>Forteikn</t>
        </is>
      </c>
      <c r="E5" s="43" t="inlineStr">
        <is>
          <t>Merknad</t>
        </is>
      </c>
    </row>
    <row r="6">
      <c r="A6" s="12" t="inlineStr">
        <is>
          <t>Faste kostnader</t>
        </is>
      </c>
      <c r="B6" s="12" t="inlineStr">
        <is>
          <t>Vedlikehald maskiner og reiskap</t>
        </is>
      </c>
      <c r="C6" s="44" t="inlineStr">
        <is>
          <t>6620-6629</t>
        </is>
      </c>
      <c r="D6" s="12" t="inlineStr">
        <is>
          <t>+ saldo</t>
        </is>
      </c>
      <c r="E6" s="21" t="inlineStr">
        <is>
          <t>6620-6629</t>
        </is>
      </c>
    </row>
    <row r="7">
      <c r="A7" s="12" t="inlineStr">
        <is>
          <t>Faste kostnader</t>
        </is>
      </c>
      <c r="B7" s="12" t="inlineStr">
        <is>
          <t>Drivstoff</t>
        </is>
      </c>
      <c r="C7" s="44" t="inlineStr">
        <is>
          <t>6250-6259</t>
        </is>
      </c>
      <c r="D7" s="12" t="inlineStr">
        <is>
          <t>+ saldo</t>
        </is>
      </c>
      <c r="E7" s="21" t="inlineStr">
        <is>
          <t>6250-6259</t>
        </is>
      </c>
    </row>
    <row r="8">
      <c r="A8" s="12" t="inlineStr">
        <is>
          <t>Faste kostnader</t>
        </is>
      </c>
      <c r="B8" s="12" t="inlineStr">
        <is>
          <t>Maskinleige / leigekøyring / bruk av eigen traktor</t>
        </is>
      </c>
      <c r="C8" s="44" t="inlineStr">
        <is>
          <t>4550-4559, 6400-6409, 6450-6452</t>
        </is>
      </c>
      <c r="D8" s="12" t="inlineStr">
        <is>
          <t>+ saldo</t>
        </is>
      </c>
      <c r="E8" s="21" t="inlineStr">
        <is>
          <t>4550-4559, 6400-6409, 6450-6452</t>
        </is>
      </c>
    </row>
    <row r="9">
      <c r="A9" s="12" t="inlineStr">
        <is>
          <t>Faste kostnader</t>
        </is>
      </c>
      <c r="B9" s="12" t="inlineStr">
        <is>
          <t>Leasing maskiner</t>
        </is>
      </c>
      <c r="C9" s="44" t="inlineStr">
        <is>
          <t>6470, 6473</t>
        </is>
      </c>
      <c r="D9" s="12" t="inlineStr">
        <is>
          <t>+ saldo</t>
        </is>
      </c>
      <c r="E9" s="21" t="inlineStr">
        <is>
          <t>6470, 6473</t>
        </is>
      </c>
    </row>
    <row r="10">
      <c r="A10" s="12" t="inlineStr">
        <is>
          <t>Faste kostnader</t>
        </is>
      </c>
      <c r="B10" s="12" t="inlineStr">
        <is>
          <t>Avskrivingar maskiner og reiskap (driftsmessige)</t>
        </is>
      </c>
      <c r="C10" s="44" t="inlineStr">
        <is>
          <t>6010</t>
        </is>
      </c>
      <c r="D10" s="12" t="inlineStr">
        <is>
          <t>+ saldo</t>
        </is>
      </c>
      <c r="E10" s="21" t="inlineStr">
        <is>
          <t>6010</t>
        </is>
      </c>
    </row>
    <row r="11">
      <c r="A11" s="12" t="inlineStr">
        <is>
          <t>Faste kostnader</t>
        </is>
      </c>
      <c r="B11" s="12" t="inlineStr">
        <is>
          <t>Andre maskinkostnader (forsikring, småreiskap)</t>
        </is>
      </c>
      <c r="C11" s="44" t="inlineStr">
        <is>
          <t>6500-6529, 7503</t>
        </is>
      </c>
      <c r="D11" s="12" t="inlineStr">
        <is>
          <t>+ saldo</t>
        </is>
      </c>
      <c r="E11" s="21" t="inlineStr">
        <is>
          <t>6500-6529, 7503</t>
        </is>
      </c>
    </row>
    <row r="12">
      <c r="A12" s="12" t="inlineStr">
        <is>
          <t>Faste kostnader</t>
        </is>
      </c>
      <c r="B12" s="12" t="inlineStr">
        <is>
          <t>Vedlikehald driftsbygningar og installasjonar</t>
        </is>
      </c>
      <c r="C12" s="44" t="inlineStr">
        <is>
          <t>6600-6604, 6640</t>
        </is>
      </c>
      <c r="D12" s="12" t="inlineStr">
        <is>
          <t>+ saldo</t>
        </is>
      </c>
      <c r="E12" s="21" t="inlineStr">
        <is>
          <t>6600-6604, 6640</t>
        </is>
      </c>
    </row>
    <row r="13">
      <c r="A13" s="12" t="inlineStr">
        <is>
          <t>Faste kostnader</t>
        </is>
      </c>
      <c r="B13" s="12" t="inlineStr">
        <is>
          <t>Avskrivingar bygningar og anlegg (driftsmessige)</t>
        </is>
      </c>
      <c r="C13" s="44" t="inlineStr">
        <is>
          <t>6000-6005, 6030, 6070-6092</t>
        </is>
      </c>
      <c r="D13" s="12" t="inlineStr">
        <is>
          <t>+ saldo</t>
        </is>
      </c>
      <c r="E13" s="21" t="inlineStr">
        <is>
          <t>6000-6005, 6030, 6070-6092</t>
        </is>
      </c>
    </row>
    <row r="14">
      <c r="A14" s="12" t="inlineStr">
        <is>
          <t>Faste kostnader</t>
        </is>
      </c>
      <c r="B14" s="12" t="inlineStr">
        <is>
          <t>Leasing / leige bygningar</t>
        </is>
      </c>
      <c r="C14" s="44" t="inlineStr">
        <is>
          <t>6300-6301, 6410</t>
        </is>
      </c>
      <c r="D14" s="12" t="inlineStr">
        <is>
          <t>+ saldo</t>
        </is>
      </c>
      <c r="E14" s="21" t="inlineStr">
        <is>
          <t>6300-6301, 6410</t>
        </is>
      </c>
    </row>
    <row r="15">
      <c r="A15" s="12" t="inlineStr">
        <is>
          <t>Faste kostnader</t>
        </is>
      </c>
      <c r="B15" s="12" t="inlineStr">
        <is>
          <t>Andre bygningskostnader (vatn, renovasjon, reinhald, forsikring)</t>
        </is>
      </c>
      <c r="C15" s="44" t="inlineStr">
        <is>
          <t>6260-6262, 6320, 6340, 6360, 6390, 6541, 6563, 7501</t>
        </is>
      </c>
      <c r="D15" s="12" t="inlineStr">
        <is>
          <t>+ saldo</t>
        </is>
      </c>
      <c r="E15" s="21" t="inlineStr">
        <is>
          <t>6260-6262, 6320, 6340, 6360, 6390, 6541, 6563, 7501</t>
        </is>
      </c>
    </row>
    <row r="16">
      <c r="A16" s="12" t="inlineStr">
        <is>
          <t>Faste kostnader</t>
        </is>
      </c>
      <c r="B16" s="12" t="inlineStr">
        <is>
          <t>Leigd hjelp / løn / avløysar</t>
        </is>
      </c>
      <c r="C16" s="44" t="inlineStr">
        <is>
          <t>4570-4580, 5000-5599, 5700-5999, !5800-5899</t>
        </is>
      </c>
      <c r="D16" s="12" t="inlineStr">
        <is>
          <t>+ saldo</t>
        </is>
      </c>
      <c r="E16" s="21" t="inlineStr">
        <is>
          <t>4570-4580, 5000-5599, 5700-5999, !5800-5899</t>
        </is>
      </c>
    </row>
    <row r="17">
      <c r="A17" s="12" t="inlineStr">
        <is>
          <t>Faste kostnader</t>
        </is>
      </c>
      <c r="B17" s="12" t="inlineStr">
        <is>
          <t>Arbeidsvederlag i selskap</t>
        </is>
      </c>
      <c r="C17" s="44" t="inlineStr">
        <is>
          <t>5600-5699</t>
        </is>
      </c>
      <c r="D17" s="12" t="inlineStr">
        <is>
          <t>+ saldo</t>
        </is>
      </c>
      <c r="E17" s="21" t="inlineStr">
        <is>
          <t>5600-5699</t>
        </is>
      </c>
    </row>
    <row r="18">
      <c r="A18" s="12" t="inlineStr">
        <is>
          <t>Faste kostnader</t>
        </is>
      </c>
      <c r="B18" s="12" t="inlineStr">
        <is>
          <t>Refusjon avløysar / sjukdom (-)</t>
        </is>
      </c>
      <c r="C18" s="44" t="inlineStr">
        <is>
          <t>3440-3442, 5800-5899</t>
        </is>
      </c>
      <c r="D18" s="12" t="inlineStr">
        <is>
          <t>+ saldo</t>
        </is>
      </c>
      <c r="E18" s="21" t="inlineStr">
        <is>
          <t>3440-3442, 5800-5899</t>
        </is>
      </c>
    </row>
    <row r="19">
      <c r="A19" s="12" t="inlineStr">
        <is>
          <t>Faste kostnader</t>
        </is>
      </c>
      <c r="B19" s="12" t="inlineStr">
        <is>
          <t>Leige av jord, beite og mjølkekvote</t>
        </is>
      </c>
      <c r="C19" s="44" t="inlineStr">
        <is>
          <t>6471, 6472, 6475</t>
        </is>
      </c>
      <c r="D19" s="12" t="inlineStr">
        <is>
          <t>+ saldo</t>
        </is>
      </c>
      <c r="E19" s="21" t="inlineStr">
        <is>
          <t>6471, 6472, 6475</t>
        </is>
      </c>
    </row>
    <row r="20">
      <c r="A20" s="12" t="inlineStr">
        <is>
          <t>Faste kostnader</t>
        </is>
      </c>
      <c r="B20" s="12" t="inlineStr">
        <is>
          <t>Vedlikehald jord, vegar, grøfter og anna</t>
        </is>
      </c>
      <c r="C20" s="44" t="inlineStr">
        <is>
          <t>6650-6699</t>
        </is>
      </c>
      <c r="D20" s="12" t="inlineStr">
        <is>
          <t>+ saldo</t>
        </is>
      </c>
      <c r="E20" s="21" t="inlineStr">
        <is>
          <t>6650-6699</t>
        </is>
      </c>
    </row>
    <row r="21">
      <c r="A21" s="12" t="inlineStr">
        <is>
          <t>Faste kostnader</t>
        </is>
      </c>
      <c r="B21" s="12" t="inlineStr">
        <is>
          <t>Energi (straum, brensel) som ikkje er fordelt</t>
        </is>
      </c>
      <c r="C21" s="44" t="inlineStr">
        <is>
          <t>6200-6249</t>
        </is>
      </c>
      <c r="D21" s="12" t="inlineStr">
        <is>
          <t>+ saldo</t>
        </is>
      </c>
      <c r="E21" s="21" t="inlineStr">
        <is>
          <t>6200-6249</t>
        </is>
      </c>
    </row>
    <row r="22">
      <c r="A22" s="12" t="inlineStr">
        <is>
          <t>Faste kostnader</t>
        </is>
      </c>
      <c r="B22" s="12" t="inlineStr">
        <is>
          <t>Administrasjon (rekneskap, kontor, telefon, kontingentar, forsikring)</t>
        </is>
      </c>
      <c r="C22" s="44" t="inlineStr">
        <is>
          <t>6700-6999, 7100-7499, 7500, 7502, 7509, 7600-7799</t>
        </is>
      </c>
      <c r="D22" s="12" t="inlineStr">
        <is>
          <t>+ saldo</t>
        </is>
      </c>
      <c r="E22" s="21" t="inlineStr">
        <is>
          <t>6700-6999, 7100-7499, 7500, 7502, 7509, 7600-7799</t>
        </is>
      </c>
    </row>
    <row r="23">
      <c r="A23" s="12" t="inlineStr">
        <is>
          <t>Faste kostnader</t>
        </is>
      </c>
      <c r="B23" s="12" t="inlineStr">
        <is>
          <t>Bil og transportmiddel</t>
        </is>
      </c>
      <c r="C23" s="44" t="inlineStr">
        <is>
          <t>6011-6014, 7000-7099</t>
        </is>
      </c>
      <c r="D23" s="12" t="inlineStr">
        <is>
          <t>+ saldo</t>
        </is>
      </c>
      <c r="E23" s="21" t="inlineStr">
        <is>
          <t>6011-6014, 7000-7099</t>
        </is>
      </c>
    </row>
    <row r="24">
      <c r="A24" s="12" t="inlineStr">
        <is>
          <t>Faste kostnader</t>
        </is>
      </c>
      <c r="B24" s="12" t="inlineStr">
        <is>
          <t>Andre avskrivingar (driftsmessige)</t>
        </is>
      </c>
      <c r="C24" s="44" t="inlineStr">
        <is>
          <t>6015-6019</t>
        </is>
      </c>
      <c r="D24" s="12" t="inlineStr">
        <is>
          <t>+ saldo</t>
        </is>
      </c>
      <c r="E24" s="21" t="inlineStr">
        <is>
          <t>6015-6019</t>
        </is>
      </c>
    </row>
    <row r="25">
      <c r="A25" s="12" t="inlineStr">
        <is>
          <t>Totaløkonomi</t>
        </is>
      </c>
      <c r="B25" s="12" t="inlineStr">
        <is>
          <t>Andre driftsinntekter, netto (ikkje fordelt på produksjon)</t>
        </is>
      </c>
      <c r="C25" s="44" t="inlineStr">
        <is>
          <t>3090-3093, 3100-3399, 3500-3999</t>
        </is>
      </c>
      <c r="D25" s="12" t="inlineStr">
        <is>
          <t>– saldo</t>
        </is>
      </c>
      <c r="E25" s="21" t="inlineStr">
        <is>
          <t>3090-3092, 3600-3999 o.l.</t>
        </is>
      </c>
    </row>
    <row r="26">
      <c r="A26" s="12" t="inlineStr">
        <is>
          <t>Totaløkonomi</t>
        </is>
      </c>
      <c r="B26" s="12" t="inlineStr">
        <is>
          <t>Renteinntekter</t>
        </is>
      </c>
      <c r="C26" s="44" t="inlineStr">
        <is>
          <t>8000-8099</t>
        </is>
      </c>
      <c r="D26" s="12" t="inlineStr">
        <is>
          <t>– saldo</t>
        </is>
      </c>
      <c r="E26" s="21" t="inlineStr">
        <is>
          <t>80xx</t>
        </is>
      </c>
    </row>
    <row r="27">
      <c r="A27" s="12" t="inlineStr">
        <is>
          <t>Totaløkonomi</t>
        </is>
      </c>
      <c r="B27" s="12" t="inlineStr">
        <is>
          <t>Renteutgifter</t>
        </is>
      </c>
      <c r="C27" s="44" t="inlineStr">
        <is>
          <t>8100-8179</t>
        </is>
      </c>
      <c r="D27" s="12" t="inlineStr">
        <is>
          <t>+ saldo</t>
        </is>
      </c>
      <c r="E27" s="21" t="inlineStr">
        <is>
          <t>8100-8179</t>
        </is>
      </c>
    </row>
    <row r="28">
      <c r="A28" s="12" t="inlineStr">
        <is>
          <t>Korn</t>
        </is>
      </c>
      <c r="B28" s="12" t="inlineStr">
        <is>
          <t>Produksjonstilskot fordelt på produksjonen</t>
        </is>
      </c>
      <c r="C28" s="44" t="inlineStr">
        <is>
          <t>3400-3439, 3450-3499</t>
        </is>
      </c>
      <c r="D28" s="12" t="inlineStr">
        <is>
          <t>– saldo</t>
        </is>
      </c>
      <c r="E28" s="21" t="inlineStr">
        <is>
          <t>34xx (ikkje 344x avløysartilskot)</t>
        </is>
      </c>
    </row>
    <row r="29">
      <c r="A29" s="12" t="inlineStr">
        <is>
          <t>Korn</t>
        </is>
      </c>
      <c r="B29" s="12" t="inlineStr">
        <is>
          <t>Sal av korn</t>
        </is>
      </c>
      <c r="C29" s="44" t="inlineStr">
        <is>
          <t>3000-3007</t>
        </is>
      </c>
      <c r="D29" s="12" t="inlineStr">
        <is>
          <t>– saldo</t>
        </is>
      </c>
      <c r="E29" s="21" t="inlineStr">
        <is>
          <t>3000-3007</t>
        </is>
      </c>
    </row>
    <row r="30">
      <c r="A30" s="12" t="inlineStr">
        <is>
          <t>Korn</t>
        </is>
      </c>
      <c r="B30" s="12" t="inlineStr">
        <is>
          <t>Sal av halm</t>
        </is>
      </c>
      <c r="C30" s="44" t="inlineStr">
        <is>
          <t>3096</t>
        </is>
      </c>
      <c r="D30" s="12" t="inlineStr">
        <is>
          <t>– saldo</t>
        </is>
      </c>
      <c r="E30" s="21" t="inlineStr">
        <is>
          <t>3096</t>
        </is>
      </c>
    </row>
    <row r="31">
      <c r="A31" s="12" t="inlineStr">
        <is>
          <t>Korn</t>
        </is>
      </c>
      <c r="B31" s="12" t="inlineStr">
        <is>
          <t>Beholdningsendring ferdigvarer (+ = auke)</t>
        </is>
      </c>
      <c r="C31" s="44" t="inlineStr">
        <is>
          <t>4290-4296, 4298</t>
        </is>
      </c>
      <c r="D31" s="12" t="inlineStr">
        <is>
          <t>– saldo</t>
        </is>
      </c>
      <c r="E31" s="21" t="inlineStr">
        <is>
          <t>4290-4298 (forteikn snudd)</t>
        </is>
      </c>
    </row>
    <row r="32">
      <c r="A32" s="12" t="inlineStr">
        <is>
          <t>Korn</t>
        </is>
      </c>
      <c r="B32" s="12" t="inlineStr">
        <is>
          <t>Gjødsel og kalk</t>
        </is>
      </c>
      <c r="C32" s="44" t="inlineStr">
        <is>
          <t>4050, 4057, 4095</t>
        </is>
      </c>
      <c r="D32" s="12" t="inlineStr">
        <is>
          <t>+ saldo</t>
        </is>
      </c>
      <c r="E32" s="21" t="inlineStr">
        <is>
          <t>4050, 4057, 4095</t>
        </is>
      </c>
    </row>
    <row r="33">
      <c r="A33" s="12" t="inlineStr">
        <is>
          <t>Korn</t>
        </is>
      </c>
      <c r="B33" s="12" t="inlineStr">
        <is>
          <t>Plantevernmiddel</t>
        </is>
      </c>
      <c r="C33" s="44" t="inlineStr">
        <is>
          <t>4110, 4111, 4191</t>
        </is>
      </c>
      <c r="D33" s="12" t="inlineStr">
        <is>
          <t>+ saldo</t>
        </is>
      </c>
      <c r="E33" s="21" t="inlineStr">
        <is>
          <t>4110, 4111, 4191</t>
        </is>
      </c>
    </row>
    <row r="34">
      <c r="A34" s="12" t="inlineStr">
        <is>
          <t>Korn</t>
        </is>
      </c>
      <c r="B34" s="12" t="inlineStr">
        <is>
          <t>Såkorn</t>
        </is>
      </c>
      <c r="C34" s="44" t="inlineStr">
        <is>
          <t>4000</t>
        </is>
      </c>
      <c r="D34" s="12" t="inlineStr">
        <is>
          <t>+ saldo</t>
        </is>
      </c>
      <c r="E34" s="21" t="inlineStr">
        <is>
          <t>4000</t>
        </is>
      </c>
    </row>
    <row r="35">
      <c r="A35" s="12" t="inlineStr">
        <is>
          <t>Korn</t>
        </is>
      </c>
      <c r="B35" s="12" t="inlineStr">
        <is>
          <t>Andre variable kostnader</t>
        </is>
      </c>
      <c r="C35" s="44" t="inlineStr">
        <is>
          <t>4540-4549, 4160, 4170</t>
        </is>
      </c>
      <c r="D35" s="12" t="inlineStr">
        <is>
          <t>+ saldo</t>
        </is>
      </c>
      <c r="E35" s="21" t="inlineStr">
        <is>
          <t>4540-4549, 4160 + andre 4xxx</t>
        </is>
      </c>
    </row>
    <row r="36">
      <c r="A36" s="12" t="inlineStr">
        <is>
          <t>Silofor</t>
        </is>
      </c>
      <c r="B36" s="12" t="inlineStr">
        <is>
          <t>Produksjonstilskot fordelt på produksjonen</t>
        </is>
      </c>
      <c r="C36" s="44" t="inlineStr">
        <is>
          <t>3400-3439, 3450-3499</t>
        </is>
      </c>
      <c r="D36" s="12" t="inlineStr">
        <is>
          <t>– saldo</t>
        </is>
      </c>
      <c r="E36" s="21" t="inlineStr">
        <is>
          <t>34xx (ikkje 344x avløysartilskot)</t>
        </is>
      </c>
    </row>
    <row r="37">
      <c r="A37" s="12" t="inlineStr">
        <is>
          <t>Silofor</t>
        </is>
      </c>
      <c r="B37" s="12" t="inlineStr">
        <is>
          <t>Sal av silofôr</t>
        </is>
      </c>
      <c r="C37" s="44" t="inlineStr">
        <is>
          <t>3095</t>
        </is>
      </c>
      <c r="D37" s="12" t="inlineStr">
        <is>
          <t>– saldo</t>
        </is>
      </c>
      <c r="E37" s="21" t="inlineStr">
        <is>
          <t>3095</t>
        </is>
      </c>
    </row>
    <row r="38">
      <c r="A38" s="12" t="inlineStr">
        <is>
          <t>Silofor</t>
        </is>
      </c>
      <c r="B38" s="12" t="inlineStr">
        <is>
          <t>Beholdningsendring ferdigvarer (+ = auke)</t>
        </is>
      </c>
      <c r="C38" s="44" t="inlineStr">
        <is>
          <t>4297</t>
        </is>
      </c>
      <c r="D38" s="12" t="inlineStr">
        <is>
          <t>– saldo</t>
        </is>
      </c>
      <c r="E38" s="21" t="inlineStr">
        <is>
          <t>4290-4298 (forteikn snudd)</t>
        </is>
      </c>
    </row>
    <row r="39">
      <c r="A39" s="12" t="inlineStr">
        <is>
          <t>Silofor</t>
        </is>
      </c>
      <c r="B39" s="12" t="inlineStr">
        <is>
          <t>Gjødsel og kalk</t>
        </is>
      </c>
      <c r="C39" s="44" t="inlineStr">
        <is>
          <t>4050, 4057, 4095</t>
        </is>
      </c>
      <c r="D39" s="12" t="inlineStr">
        <is>
          <t>+ saldo</t>
        </is>
      </c>
      <c r="E39" s="21" t="inlineStr">
        <is>
          <t>4050, 4057, 4095</t>
        </is>
      </c>
    </row>
    <row r="40">
      <c r="A40" s="12" t="inlineStr">
        <is>
          <t>Silofor</t>
        </is>
      </c>
      <c r="B40" s="12" t="inlineStr">
        <is>
          <t>Plantevernmiddel</t>
        </is>
      </c>
      <c r="C40" s="44" t="inlineStr">
        <is>
          <t>4110, 4111, 4191</t>
        </is>
      </c>
      <c r="D40" s="12" t="inlineStr">
        <is>
          <t>+ saldo</t>
        </is>
      </c>
      <c r="E40" s="21" t="inlineStr">
        <is>
          <t>4110, 4111, 4191</t>
        </is>
      </c>
    </row>
    <row r="41">
      <c r="A41" s="12" t="inlineStr">
        <is>
          <t>Silofor</t>
        </is>
      </c>
      <c r="B41" s="12" t="inlineStr">
        <is>
          <t>Grasfrø</t>
        </is>
      </c>
      <c r="C41" s="44" t="inlineStr">
        <is>
          <t>4001</t>
        </is>
      </c>
      <c r="D41" s="12" t="inlineStr">
        <is>
          <t>+ saldo</t>
        </is>
      </c>
      <c r="E41" s="21" t="inlineStr">
        <is>
          <t>4001</t>
        </is>
      </c>
    </row>
    <row r="42">
      <c r="A42" s="12" t="inlineStr">
        <is>
          <t>Silofor</t>
        </is>
      </c>
      <c r="B42" s="12" t="inlineStr">
        <is>
          <t>Andre variable kostnader</t>
        </is>
      </c>
      <c r="C42" s="44" t="inlineStr">
        <is>
          <t>4540-4549, 4160, 4170</t>
        </is>
      </c>
      <c r="D42" s="12" t="inlineStr">
        <is>
          <t>+ saldo</t>
        </is>
      </c>
      <c r="E42" s="21" t="inlineStr">
        <is>
          <t>4540-4549, 4160 + andre 4xxx</t>
        </is>
      </c>
    </row>
    <row r="43">
      <c r="A43" s="12" t="inlineStr">
        <is>
          <t>Høy</t>
        </is>
      </c>
      <c r="B43" s="12" t="inlineStr">
        <is>
          <t>Produksjonstilskot fordelt på produksjonen</t>
        </is>
      </c>
      <c r="C43" s="44" t="inlineStr">
        <is>
          <t>3400-3439, 3450-3499</t>
        </is>
      </c>
      <c r="D43" s="12" t="inlineStr">
        <is>
          <t>– saldo</t>
        </is>
      </c>
      <c r="E43" s="21" t="inlineStr">
        <is>
          <t>34xx (ikkje 344x avløysartilskot)</t>
        </is>
      </c>
    </row>
    <row r="44">
      <c r="A44" s="12" t="inlineStr">
        <is>
          <t>Høy</t>
        </is>
      </c>
      <c r="B44" s="12" t="inlineStr">
        <is>
          <t>Sal av høy</t>
        </is>
      </c>
      <c r="C44" s="44" t="inlineStr">
        <is>
          <t>3094</t>
        </is>
      </c>
      <c r="D44" s="12" t="inlineStr">
        <is>
          <t>– saldo</t>
        </is>
      </c>
      <c r="E44" s="21" t="inlineStr">
        <is>
          <t>3094</t>
        </is>
      </c>
    </row>
    <row r="45">
      <c r="A45" s="12" t="inlineStr">
        <is>
          <t>Høy</t>
        </is>
      </c>
      <c r="B45" s="12" t="inlineStr">
        <is>
          <t>Beholdningsendring ferdigvarer (+ = auke)</t>
        </is>
      </c>
      <c r="C45" s="44" t="inlineStr">
        <is>
          <t>4297</t>
        </is>
      </c>
      <c r="D45" s="12" t="inlineStr">
        <is>
          <t>– saldo</t>
        </is>
      </c>
      <c r="E45" s="21" t="inlineStr">
        <is>
          <t>4290-4298 (forteikn snudd)</t>
        </is>
      </c>
    </row>
    <row r="46">
      <c r="A46" s="12" t="inlineStr">
        <is>
          <t>Høy</t>
        </is>
      </c>
      <c r="B46" s="12" t="inlineStr">
        <is>
          <t>Gjødsel og kalk</t>
        </is>
      </c>
      <c r="C46" s="44" t="inlineStr">
        <is>
          <t>4050, 4057, 4095</t>
        </is>
      </c>
      <c r="D46" s="12" t="inlineStr">
        <is>
          <t>+ saldo</t>
        </is>
      </c>
      <c r="E46" s="21" t="inlineStr">
        <is>
          <t>4050, 4057, 4095</t>
        </is>
      </c>
    </row>
    <row r="47">
      <c r="A47" s="12" t="inlineStr">
        <is>
          <t>Høy</t>
        </is>
      </c>
      <c r="B47" s="12" t="inlineStr">
        <is>
          <t>Plantevernmiddel</t>
        </is>
      </c>
      <c r="C47" s="44" t="inlineStr">
        <is>
          <t>4110, 4111, 4191</t>
        </is>
      </c>
      <c r="D47" s="12" t="inlineStr">
        <is>
          <t>+ saldo</t>
        </is>
      </c>
      <c r="E47" s="21" t="inlineStr">
        <is>
          <t>4110, 4111, 4191</t>
        </is>
      </c>
    </row>
    <row r="48">
      <c r="A48" s="12" t="inlineStr">
        <is>
          <t>Høy</t>
        </is>
      </c>
      <c r="B48" s="12" t="inlineStr">
        <is>
          <t>Grasfrø</t>
        </is>
      </c>
      <c r="C48" s="44" t="inlineStr">
        <is>
          <t>4001</t>
        </is>
      </c>
      <c r="D48" s="12" t="inlineStr">
        <is>
          <t>+ saldo</t>
        </is>
      </c>
      <c r="E48" s="21" t="inlineStr">
        <is>
          <t>4001</t>
        </is>
      </c>
    </row>
    <row r="49">
      <c r="A49" s="12" t="inlineStr">
        <is>
          <t>Høy</t>
        </is>
      </c>
      <c r="B49" s="12" t="inlineStr">
        <is>
          <t>Andre variable kostnader</t>
        </is>
      </c>
      <c r="C49" s="44" t="inlineStr">
        <is>
          <t>4540-4549, 4160, 4170</t>
        </is>
      </c>
      <c r="D49" s="12" t="inlineStr">
        <is>
          <t>+ saldo</t>
        </is>
      </c>
      <c r="E49" s="21" t="inlineStr">
        <is>
          <t>4540-4549, 4160 + andre 4xxx</t>
        </is>
      </c>
    </row>
    <row r="50">
      <c r="A50" s="12" t="inlineStr">
        <is>
          <t>Potet</t>
        </is>
      </c>
      <c r="B50" s="12" t="inlineStr">
        <is>
          <t>Produksjonstilskot fordelt på produksjonen</t>
        </is>
      </c>
      <c r="C50" s="44" t="inlineStr">
        <is>
          <t>3400-3439, 3450-3499</t>
        </is>
      </c>
      <c r="D50" s="12" t="inlineStr">
        <is>
          <t>– saldo</t>
        </is>
      </c>
      <c r="E50" s="21" t="inlineStr">
        <is>
          <t>34xx (ikkje 344x avløysartilskot)</t>
        </is>
      </c>
    </row>
    <row r="51">
      <c r="A51" s="12" t="inlineStr">
        <is>
          <t>Potet</t>
        </is>
      </c>
      <c r="B51" s="12" t="inlineStr">
        <is>
          <t>Sal av potet</t>
        </is>
      </c>
      <c r="C51" s="44" t="inlineStr">
        <is>
          <t>3010-3011</t>
        </is>
      </c>
      <c r="D51" s="12" t="inlineStr">
        <is>
          <t>– saldo</t>
        </is>
      </c>
      <c r="E51" s="21" t="inlineStr">
        <is>
          <t>3010-3011</t>
        </is>
      </c>
    </row>
    <row r="52">
      <c r="A52" s="12" t="inlineStr">
        <is>
          <t>Potet</t>
        </is>
      </c>
      <c r="B52" s="12" t="inlineStr">
        <is>
          <t>Beholdningsendring ferdigvarer (+ = auke)</t>
        </is>
      </c>
      <c r="C52" s="44" t="inlineStr">
        <is>
          <t>4290-4296, 4298</t>
        </is>
      </c>
      <c r="D52" s="12" t="inlineStr">
        <is>
          <t>– saldo</t>
        </is>
      </c>
      <c r="E52" s="21" t="inlineStr">
        <is>
          <t>4290-4298 (forteikn snudd)</t>
        </is>
      </c>
    </row>
    <row r="53">
      <c r="A53" s="12" t="inlineStr">
        <is>
          <t>Potet</t>
        </is>
      </c>
      <c r="B53" s="12" t="inlineStr">
        <is>
          <t>Gjødsel og kalk</t>
        </is>
      </c>
      <c r="C53" s="44" t="inlineStr">
        <is>
          <t>4050, 4057, 4095</t>
        </is>
      </c>
      <c r="D53" s="12" t="inlineStr">
        <is>
          <t>+ saldo</t>
        </is>
      </c>
      <c r="E53" s="21" t="inlineStr">
        <is>
          <t>4050, 4057, 4095</t>
        </is>
      </c>
    </row>
    <row r="54">
      <c r="A54" s="12" t="inlineStr">
        <is>
          <t>Potet</t>
        </is>
      </c>
      <c r="B54" s="12" t="inlineStr">
        <is>
          <t>Plantevernmiddel</t>
        </is>
      </c>
      <c r="C54" s="44" t="inlineStr">
        <is>
          <t>4110, 4111, 4191</t>
        </is>
      </c>
      <c r="D54" s="12" t="inlineStr">
        <is>
          <t>+ saldo</t>
        </is>
      </c>
      <c r="E54" s="21" t="inlineStr">
        <is>
          <t>4110, 4111, 4191</t>
        </is>
      </c>
    </row>
    <row r="55">
      <c r="A55" s="12" t="inlineStr">
        <is>
          <t>Potet</t>
        </is>
      </c>
      <c r="B55" s="12" t="inlineStr">
        <is>
          <t>Settepotet</t>
        </is>
      </c>
      <c r="C55" s="44" t="inlineStr">
        <is>
          <t>4010, 4091</t>
        </is>
      </c>
      <c r="D55" s="12" t="inlineStr">
        <is>
          <t>+ saldo</t>
        </is>
      </c>
      <c r="E55" s="21" t="inlineStr">
        <is>
          <t>4010, 4091</t>
        </is>
      </c>
    </row>
    <row r="56">
      <c r="A56" s="12" t="inlineStr">
        <is>
          <t>Potet</t>
        </is>
      </c>
      <c r="B56" s="12" t="inlineStr">
        <is>
          <t>Emballasje</t>
        </is>
      </c>
      <c r="C56" s="44" t="inlineStr">
        <is>
          <t>4140-4142, 4194</t>
        </is>
      </c>
      <c r="D56" s="12" t="inlineStr">
        <is>
          <t>+ saldo</t>
        </is>
      </c>
      <c r="E56" s="21" t="inlineStr">
        <is>
          <t>4140-4142, 4194</t>
        </is>
      </c>
    </row>
    <row r="57">
      <c r="A57" s="12" t="inlineStr">
        <is>
          <t>Potet</t>
        </is>
      </c>
      <c r="B57" s="12" t="inlineStr">
        <is>
          <t>Andre variable kostnader</t>
        </is>
      </c>
      <c r="C57" s="44" t="inlineStr">
        <is>
          <t>4540-4549, 4160, 4170</t>
        </is>
      </c>
      <c r="D57" s="12" t="inlineStr">
        <is>
          <t>+ saldo</t>
        </is>
      </c>
      <c r="E57" s="21" t="inlineStr">
        <is>
          <t>4540-4549, 4160 + andre 4xxx</t>
        </is>
      </c>
    </row>
    <row r="58">
      <c r="A58" s="12" t="inlineStr">
        <is>
          <t>Agurk</t>
        </is>
      </c>
      <c r="B58" s="12" t="inlineStr">
        <is>
          <t>Produksjonstilskot fordelt på produksjonen</t>
        </is>
      </c>
      <c r="C58" s="44" t="inlineStr">
        <is>
          <t>3400-3439, 3450-3499</t>
        </is>
      </c>
      <c r="D58" s="12" t="inlineStr">
        <is>
          <t>– saldo</t>
        </is>
      </c>
      <c r="E58" s="21" t="inlineStr">
        <is>
          <t>34xx (ikkje 344x avløysartilskot)</t>
        </is>
      </c>
    </row>
    <row r="59">
      <c r="A59" s="12" t="inlineStr">
        <is>
          <t>Agurk</t>
        </is>
      </c>
      <c r="B59" s="12" t="inlineStr">
        <is>
          <t>Sal av agurk</t>
        </is>
      </c>
      <c r="C59" s="44" t="inlineStr">
        <is>
          <t>3019</t>
        </is>
      </c>
      <c r="D59" s="12" t="inlineStr">
        <is>
          <t>– saldo</t>
        </is>
      </c>
      <c r="E59" s="21" t="inlineStr">
        <is>
          <t>3019</t>
        </is>
      </c>
    </row>
    <row r="60">
      <c r="A60" s="12" t="inlineStr">
        <is>
          <t>Agurk</t>
        </is>
      </c>
      <c r="B60" s="12" t="inlineStr">
        <is>
          <t>Beholdningsendring ferdigvarer (+ = auke)</t>
        </is>
      </c>
      <c r="C60" s="44" t="inlineStr">
        <is>
          <t>4290-4296, 4298</t>
        </is>
      </c>
      <c r="D60" s="12" t="inlineStr">
        <is>
          <t>– saldo</t>
        </is>
      </c>
      <c r="E60" s="21" t="inlineStr">
        <is>
          <t>4290-4298 (forteikn snudd)</t>
        </is>
      </c>
    </row>
    <row r="61">
      <c r="A61" s="12" t="inlineStr">
        <is>
          <t>Agurk</t>
        </is>
      </c>
      <c r="B61" s="12" t="inlineStr">
        <is>
          <t>Gjødsel og kalk</t>
        </is>
      </c>
      <c r="C61" s="44" t="inlineStr">
        <is>
          <t>4050, 4057, 4095</t>
        </is>
      </c>
      <c r="D61" s="12" t="inlineStr">
        <is>
          <t>+ saldo</t>
        </is>
      </c>
      <c r="E61" s="21" t="inlineStr">
        <is>
          <t>4050, 4057, 4095</t>
        </is>
      </c>
    </row>
    <row r="62">
      <c r="A62" s="12" t="inlineStr">
        <is>
          <t>Agurk</t>
        </is>
      </c>
      <c r="B62" s="12" t="inlineStr">
        <is>
          <t>Plantevernmiddel</t>
        </is>
      </c>
      <c r="C62" s="44" t="inlineStr">
        <is>
          <t>4110, 4111, 4191</t>
        </is>
      </c>
      <c r="D62" s="12" t="inlineStr">
        <is>
          <t>+ saldo</t>
        </is>
      </c>
      <c r="E62" s="21" t="inlineStr">
        <is>
          <t>4110, 4111, 4191</t>
        </is>
      </c>
    </row>
    <row r="63">
      <c r="A63" s="12" t="inlineStr">
        <is>
          <t>Agurk</t>
        </is>
      </c>
      <c r="B63" s="12" t="inlineStr">
        <is>
          <t>Frø / planter</t>
        </is>
      </c>
      <c r="C63" s="44" t="inlineStr">
        <is>
          <t>4019</t>
        </is>
      </c>
      <c r="D63" s="12" t="inlineStr">
        <is>
          <t>+ saldo</t>
        </is>
      </c>
      <c r="E63" s="21" t="inlineStr">
        <is>
          <t>4019</t>
        </is>
      </c>
    </row>
    <row r="64">
      <c r="A64" s="12" t="inlineStr">
        <is>
          <t>Agurk</t>
        </is>
      </c>
      <c r="B64" s="12" t="inlineStr">
        <is>
          <t>Emballasje</t>
        </is>
      </c>
      <c r="C64" s="44" t="inlineStr">
        <is>
          <t>4140-4142, 4194</t>
        </is>
      </c>
      <c r="D64" s="12" t="inlineStr">
        <is>
          <t>+ saldo</t>
        </is>
      </c>
      <c r="E64" s="21" t="inlineStr">
        <is>
          <t>4140-4142, 4194</t>
        </is>
      </c>
    </row>
    <row r="65">
      <c r="A65" s="12" t="inlineStr">
        <is>
          <t>Agurk</t>
        </is>
      </c>
      <c r="B65" s="12" t="inlineStr">
        <is>
          <t>Brensel, energi (veksthus)</t>
        </is>
      </c>
      <c r="C65" s="44" t="inlineStr">
        <is>
          <t>6200-6249</t>
        </is>
      </c>
      <c r="D65" s="12" t="inlineStr">
        <is>
          <t>+ saldo</t>
        </is>
      </c>
      <c r="E65" s="21" t="inlineStr">
        <is>
          <t>6200-6249 når kopla til produksjonen</t>
        </is>
      </c>
    </row>
    <row r="66">
      <c r="A66" s="12" t="inlineStr">
        <is>
          <t>Agurk</t>
        </is>
      </c>
      <c r="B66" s="12" t="inlineStr">
        <is>
          <t>Andre variable kostnader</t>
        </is>
      </c>
      <c r="C66" s="44" t="inlineStr">
        <is>
          <t>4540-4549, 4160, 4170</t>
        </is>
      </c>
      <c r="D66" s="12" t="inlineStr">
        <is>
          <t>+ saldo</t>
        </is>
      </c>
      <c r="E66" s="21" t="inlineStr">
        <is>
          <t>4540-4549, 4160 + andre 4xxx</t>
        </is>
      </c>
    </row>
    <row r="67">
      <c r="A67" s="12" t="inlineStr">
        <is>
          <t>Tomat</t>
        </is>
      </c>
      <c r="B67" s="12" t="inlineStr">
        <is>
          <t>Produksjonstilskot fordelt på produksjonen</t>
        </is>
      </c>
      <c r="C67" s="44" t="inlineStr">
        <is>
          <t>3400-3439, 3450-3499</t>
        </is>
      </c>
      <c r="D67" s="12" t="inlineStr">
        <is>
          <t>– saldo</t>
        </is>
      </c>
      <c r="E67" s="21" t="inlineStr">
        <is>
          <t>34xx (ikkje 344x avløysartilskot)</t>
        </is>
      </c>
    </row>
    <row r="68">
      <c r="A68" s="12" t="inlineStr">
        <is>
          <t>Tomat</t>
        </is>
      </c>
      <c r="B68" s="12" t="inlineStr">
        <is>
          <t>Sal av tomat</t>
        </is>
      </c>
      <c r="C68" s="44" t="inlineStr">
        <is>
          <t>3018</t>
        </is>
      </c>
      <c r="D68" s="12" t="inlineStr">
        <is>
          <t>– saldo</t>
        </is>
      </c>
      <c r="E68" s="21" t="inlineStr">
        <is>
          <t>3018</t>
        </is>
      </c>
    </row>
    <row r="69">
      <c r="A69" s="12" t="inlineStr">
        <is>
          <t>Tomat</t>
        </is>
      </c>
      <c r="B69" s="12" t="inlineStr">
        <is>
          <t>Beholdningsendring ferdigvarer (+ = auke)</t>
        </is>
      </c>
      <c r="C69" s="44" t="inlineStr">
        <is>
          <t>4290-4296, 4298</t>
        </is>
      </c>
      <c r="D69" s="12" t="inlineStr">
        <is>
          <t>– saldo</t>
        </is>
      </c>
      <c r="E69" s="21" t="inlineStr">
        <is>
          <t>4290-4298 (forteikn snudd)</t>
        </is>
      </c>
    </row>
    <row r="70">
      <c r="A70" s="12" t="inlineStr">
        <is>
          <t>Tomat</t>
        </is>
      </c>
      <c r="B70" s="12" t="inlineStr">
        <is>
          <t>Gjødsel og kalk</t>
        </is>
      </c>
      <c r="C70" s="44" t="inlineStr">
        <is>
          <t>4050, 4057, 4095</t>
        </is>
      </c>
      <c r="D70" s="12" t="inlineStr">
        <is>
          <t>+ saldo</t>
        </is>
      </c>
      <c r="E70" s="21" t="inlineStr">
        <is>
          <t>4050, 4057, 4095</t>
        </is>
      </c>
    </row>
    <row r="71">
      <c r="A71" s="12" t="inlineStr">
        <is>
          <t>Tomat</t>
        </is>
      </c>
      <c r="B71" s="12" t="inlineStr">
        <is>
          <t>Plantevernmiddel</t>
        </is>
      </c>
      <c r="C71" s="44" t="inlineStr">
        <is>
          <t>4110, 4111, 4191</t>
        </is>
      </c>
      <c r="D71" s="12" t="inlineStr">
        <is>
          <t>+ saldo</t>
        </is>
      </c>
      <c r="E71" s="21" t="inlineStr">
        <is>
          <t>4110, 4111, 4191</t>
        </is>
      </c>
    </row>
    <row r="72">
      <c r="A72" s="12" t="inlineStr">
        <is>
          <t>Tomat</t>
        </is>
      </c>
      <c r="B72" s="12" t="inlineStr">
        <is>
          <t>Frø / planter</t>
        </is>
      </c>
      <c r="C72" s="44" t="inlineStr">
        <is>
          <t>4018</t>
        </is>
      </c>
      <c r="D72" s="12" t="inlineStr">
        <is>
          <t>+ saldo</t>
        </is>
      </c>
      <c r="E72" s="21" t="inlineStr">
        <is>
          <t>4018</t>
        </is>
      </c>
    </row>
    <row r="73">
      <c r="A73" s="12" t="inlineStr">
        <is>
          <t>Tomat</t>
        </is>
      </c>
      <c r="B73" s="12" t="inlineStr">
        <is>
          <t>Emballasje</t>
        </is>
      </c>
      <c r="C73" s="44" t="inlineStr">
        <is>
          <t>4140-4142, 4194</t>
        </is>
      </c>
      <c r="D73" s="12" t="inlineStr">
        <is>
          <t>+ saldo</t>
        </is>
      </c>
      <c r="E73" s="21" t="inlineStr">
        <is>
          <t>4140-4142, 4194</t>
        </is>
      </c>
    </row>
    <row r="74">
      <c r="A74" s="12" t="inlineStr">
        <is>
          <t>Tomat</t>
        </is>
      </c>
      <c r="B74" s="12" t="inlineStr">
        <is>
          <t>Brensel, energi (veksthus)</t>
        </is>
      </c>
      <c r="C74" s="44" t="inlineStr">
        <is>
          <t>6200-6249</t>
        </is>
      </c>
      <c r="D74" s="12" t="inlineStr">
        <is>
          <t>+ saldo</t>
        </is>
      </c>
      <c r="E74" s="21" t="inlineStr">
        <is>
          <t>6200-6249 når kopla til produksjonen</t>
        </is>
      </c>
    </row>
    <row r="75">
      <c r="A75" s="12" t="inlineStr">
        <is>
          <t>Tomat</t>
        </is>
      </c>
      <c r="B75" s="12" t="inlineStr">
        <is>
          <t>Andre variable kostnader</t>
        </is>
      </c>
      <c r="C75" s="44" t="inlineStr">
        <is>
          <t>4540-4549, 4160, 4170</t>
        </is>
      </c>
      <c r="D75" s="12" t="inlineStr">
        <is>
          <t>+ saldo</t>
        </is>
      </c>
      <c r="E75" s="21" t="inlineStr">
        <is>
          <t>4540-4549, 4160 + andre 4xxx</t>
        </is>
      </c>
    </row>
    <row r="76">
      <c r="A76" s="12" t="inlineStr">
        <is>
          <t>Frilandsgrønsak</t>
        </is>
      </c>
      <c r="B76" s="12" t="inlineStr">
        <is>
          <t>Produksjonstilskot fordelt på produksjonen</t>
        </is>
      </c>
      <c r="C76" s="44" t="inlineStr">
        <is>
          <t>3400-3439, 3450-3499</t>
        </is>
      </c>
      <c r="D76" s="12" t="inlineStr">
        <is>
          <t>– saldo</t>
        </is>
      </c>
      <c r="E76" s="21" t="inlineStr">
        <is>
          <t>34xx (ikkje 344x avløysartilskot)</t>
        </is>
      </c>
    </row>
    <row r="77">
      <c r="A77" s="12" t="inlineStr">
        <is>
          <t>Frilandsgrønsak</t>
        </is>
      </c>
      <c r="B77" s="12" t="inlineStr">
        <is>
          <t>Sal av grønsaker</t>
        </is>
      </c>
      <c r="C77" s="44" t="inlineStr">
        <is>
          <t>3013, 3015, 3020, 3039</t>
        </is>
      </c>
      <c r="D77" s="12" t="inlineStr">
        <is>
          <t>– saldo</t>
        </is>
      </c>
      <c r="E77" s="21" t="inlineStr">
        <is>
          <t>3013, 3015, 3020, 3039</t>
        </is>
      </c>
    </row>
    <row r="78">
      <c r="A78" s="12" t="inlineStr">
        <is>
          <t>Frilandsgrønsak</t>
        </is>
      </c>
      <c r="B78" s="12" t="inlineStr">
        <is>
          <t>Beholdningsendring ferdigvarer (+ = auke)</t>
        </is>
      </c>
      <c r="C78" s="44" t="inlineStr">
        <is>
          <t>4290-4296, 4298</t>
        </is>
      </c>
      <c r="D78" s="12" t="inlineStr">
        <is>
          <t>– saldo</t>
        </is>
      </c>
      <c r="E78" s="21" t="inlineStr">
        <is>
          <t>4290-4298 (forteikn snudd)</t>
        </is>
      </c>
    </row>
    <row r="79">
      <c r="A79" s="12" t="inlineStr">
        <is>
          <t>Frilandsgrønsak</t>
        </is>
      </c>
      <c r="B79" s="12" t="inlineStr">
        <is>
          <t>Gjødsel og kalk</t>
        </is>
      </c>
      <c r="C79" s="44" t="inlineStr">
        <is>
          <t>4050, 4057, 4095</t>
        </is>
      </c>
      <c r="D79" s="12" t="inlineStr">
        <is>
          <t>+ saldo</t>
        </is>
      </c>
      <c r="E79" s="21" t="inlineStr">
        <is>
          <t>4050, 4057, 4095</t>
        </is>
      </c>
    </row>
    <row r="80">
      <c r="A80" s="12" t="inlineStr">
        <is>
          <t>Frilandsgrønsak</t>
        </is>
      </c>
      <c r="B80" s="12" t="inlineStr">
        <is>
          <t>Plantevernmiddel</t>
        </is>
      </c>
      <c r="C80" s="44" t="inlineStr">
        <is>
          <t>4110, 4111, 4191</t>
        </is>
      </c>
      <c r="D80" s="12" t="inlineStr">
        <is>
          <t>+ saldo</t>
        </is>
      </c>
      <c r="E80" s="21" t="inlineStr">
        <is>
          <t>4110, 4111, 4191</t>
        </is>
      </c>
    </row>
    <row r="81">
      <c r="A81" s="12" t="inlineStr">
        <is>
          <t>Frilandsgrønsak</t>
        </is>
      </c>
      <c r="B81" s="12" t="inlineStr">
        <is>
          <t>Frø / planter</t>
        </is>
      </c>
      <c r="C81" s="44" t="inlineStr">
        <is>
          <t>4012</t>
        </is>
      </c>
      <c r="D81" s="12" t="inlineStr">
        <is>
          <t>+ saldo</t>
        </is>
      </c>
      <c r="E81" s="21" t="inlineStr">
        <is>
          <t>4012</t>
        </is>
      </c>
    </row>
    <row r="82">
      <c r="A82" s="12" t="inlineStr">
        <is>
          <t>Frilandsgrønsak</t>
        </is>
      </c>
      <c r="B82" s="12" t="inlineStr">
        <is>
          <t>Emballasje</t>
        </is>
      </c>
      <c r="C82" s="44" t="inlineStr">
        <is>
          <t>4140-4142, 4194</t>
        </is>
      </c>
      <c r="D82" s="12" t="inlineStr">
        <is>
          <t>+ saldo</t>
        </is>
      </c>
      <c r="E82" s="21" t="inlineStr">
        <is>
          <t>4140-4142, 4194</t>
        </is>
      </c>
    </row>
    <row r="83">
      <c r="A83" s="12" t="inlineStr">
        <is>
          <t>Frilandsgrønsak</t>
        </is>
      </c>
      <c r="B83" s="12" t="inlineStr">
        <is>
          <t>Andre variable kostnader</t>
        </is>
      </c>
      <c r="C83" s="44" t="inlineStr">
        <is>
          <t>4540-4549, 4160, 4170</t>
        </is>
      </c>
      <c r="D83" s="12" t="inlineStr">
        <is>
          <t>+ saldo</t>
        </is>
      </c>
      <c r="E83" s="21" t="inlineStr">
        <is>
          <t>4540-4549, 4160 + andre 4xxx</t>
        </is>
      </c>
    </row>
    <row r="84">
      <c r="A84" s="12" t="inlineStr">
        <is>
          <t>Gulrot</t>
        </is>
      </c>
      <c r="B84" s="12" t="inlineStr">
        <is>
          <t>Produksjonstilskot fordelt på produksjonen</t>
        </is>
      </c>
      <c r="C84" s="44" t="inlineStr">
        <is>
          <t>3400-3439, 3450-3499</t>
        </is>
      </c>
      <c r="D84" s="12" t="inlineStr">
        <is>
          <t>– saldo</t>
        </is>
      </c>
      <c r="E84" s="21" t="inlineStr">
        <is>
          <t>34xx (ikkje 344x avløysartilskot)</t>
        </is>
      </c>
    </row>
    <row r="85">
      <c r="A85" s="12" t="inlineStr">
        <is>
          <t>Gulrot</t>
        </is>
      </c>
      <c r="B85" s="12" t="inlineStr">
        <is>
          <t>Sal av gulrot</t>
        </is>
      </c>
      <c r="C85" s="44" t="inlineStr">
        <is>
          <t>3014</t>
        </is>
      </c>
      <c r="D85" s="12" t="inlineStr">
        <is>
          <t>– saldo</t>
        </is>
      </c>
      <c r="E85" s="21" t="inlineStr">
        <is>
          <t>3014</t>
        </is>
      </c>
    </row>
    <row r="86">
      <c r="A86" s="12" t="inlineStr">
        <is>
          <t>Gulrot</t>
        </is>
      </c>
      <c r="B86" s="12" t="inlineStr">
        <is>
          <t>Beholdningsendring ferdigvarer (+ = auke)</t>
        </is>
      </c>
      <c r="C86" s="44" t="inlineStr">
        <is>
          <t>4290-4296, 4298</t>
        </is>
      </c>
      <c r="D86" s="12" t="inlineStr">
        <is>
          <t>– saldo</t>
        </is>
      </c>
      <c r="E86" s="21" t="inlineStr">
        <is>
          <t>4290-4298 (forteikn snudd)</t>
        </is>
      </c>
    </row>
    <row r="87">
      <c r="A87" s="12" t="inlineStr">
        <is>
          <t>Gulrot</t>
        </is>
      </c>
      <c r="B87" s="12" t="inlineStr">
        <is>
          <t>Gjødsel og kalk</t>
        </is>
      </c>
      <c r="C87" s="44" t="inlineStr">
        <is>
          <t>4050, 4057, 4095</t>
        </is>
      </c>
      <c r="D87" s="12" t="inlineStr">
        <is>
          <t>+ saldo</t>
        </is>
      </c>
      <c r="E87" s="21" t="inlineStr">
        <is>
          <t>4050, 4057, 4095</t>
        </is>
      </c>
    </row>
    <row r="88">
      <c r="A88" s="12" t="inlineStr">
        <is>
          <t>Gulrot</t>
        </is>
      </c>
      <c r="B88" s="12" t="inlineStr">
        <is>
          <t>Plantevernmiddel</t>
        </is>
      </c>
      <c r="C88" s="44" t="inlineStr">
        <is>
          <t>4110, 4111, 4191</t>
        </is>
      </c>
      <c r="D88" s="12" t="inlineStr">
        <is>
          <t>+ saldo</t>
        </is>
      </c>
      <c r="E88" s="21" t="inlineStr">
        <is>
          <t>4110, 4111, 4191</t>
        </is>
      </c>
    </row>
    <row r="89">
      <c r="A89" s="12" t="inlineStr">
        <is>
          <t>Gulrot</t>
        </is>
      </c>
      <c r="B89" s="12" t="inlineStr">
        <is>
          <t>Frø</t>
        </is>
      </c>
      <c r="C89" s="44" t="inlineStr">
        <is>
          <t>4012</t>
        </is>
      </c>
      <c r="D89" s="12" t="inlineStr">
        <is>
          <t>+ saldo</t>
        </is>
      </c>
      <c r="E89" s="21" t="inlineStr">
        <is>
          <t>4012</t>
        </is>
      </c>
    </row>
    <row r="90">
      <c r="A90" s="12" t="inlineStr">
        <is>
          <t>Gulrot</t>
        </is>
      </c>
      <c r="B90" s="12" t="inlineStr">
        <is>
          <t>Emballasje</t>
        </is>
      </c>
      <c r="C90" s="44" t="inlineStr">
        <is>
          <t>4140-4142, 4194</t>
        </is>
      </c>
      <c r="D90" s="12" t="inlineStr">
        <is>
          <t>+ saldo</t>
        </is>
      </c>
      <c r="E90" s="21" t="inlineStr">
        <is>
          <t>4140-4142, 4194</t>
        </is>
      </c>
    </row>
    <row r="91">
      <c r="A91" s="12" t="inlineStr">
        <is>
          <t>Gulrot</t>
        </is>
      </c>
      <c r="B91" s="12" t="inlineStr">
        <is>
          <t>Andre variable kostnader</t>
        </is>
      </c>
      <c r="C91" s="44" t="inlineStr">
        <is>
          <t>4540-4549, 4160, 4170</t>
        </is>
      </c>
      <c r="D91" s="12" t="inlineStr">
        <is>
          <t>+ saldo</t>
        </is>
      </c>
      <c r="E91" s="21" t="inlineStr">
        <is>
          <t>4540-4549, 4160 + andre 4xxx</t>
        </is>
      </c>
    </row>
    <row r="92">
      <c r="A92" s="12" t="inlineStr">
        <is>
          <t>Kålrot</t>
        </is>
      </c>
      <c r="B92" s="12" t="inlineStr">
        <is>
          <t>Produksjonstilskot fordelt på produksjonen</t>
        </is>
      </c>
      <c r="C92" s="44" t="inlineStr">
        <is>
          <t>3400-3439, 3450-3499</t>
        </is>
      </c>
      <c r="D92" s="12" t="inlineStr">
        <is>
          <t>– saldo</t>
        </is>
      </c>
      <c r="E92" s="21" t="inlineStr">
        <is>
          <t>34xx (ikkje 344x avløysartilskot)</t>
        </is>
      </c>
    </row>
    <row r="93">
      <c r="A93" s="12" t="inlineStr">
        <is>
          <t>Kålrot</t>
        </is>
      </c>
      <c r="B93" s="12" t="inlineStr">
        <is>
          <t>Sal av kålrot</t>
        </is>
      </c>
      <c r="C93" s="44" t="inlineStr">
        <is>
          <t>3013, 3015</t>
        </is>
      </c>
      <c r="D93" s="12" t="inlineStr">
        <is>
          <t>– saldo</t>
        </is>
      </c>
      <c r="E93" s="21" t="inlineStr">
        <is>
          <t>3013, 3015 (kopla til kålrot)</t>
        </is>
      </c>
    </row>
    <row r="94">
      <c r="A94" s="12" t="inlineStr">
        <is>
          <t>Kålrot</t>
        </is>
      </c>
      <c r="B94" s="12" t="inlineStr">
        <is>
          <t>Beholdningsendring ferdigvarer (+ = auke)</t>
        </is>
      </c>
      <c r="C94" s="44" t="inlineStr">
        <is>
          <t>4290-4296, 4298</t>
        </is>
      </c>
      <c r="D94" s="12" t="inlineStr">
        <is>
          <t>– saldo</t>
        </is>
      </c>
      <c r="E94" s="21" t="inlineStr">
        <is>
          <t>4290-4298 (forteikn snudd)</t>
        </is>
      </c>
    </row>
    <row r="95">
      <c r="A95" s="12" t="inlineStr">
        <is>
          <t>Kålrot</t>
        </is>
      </c>
      <c r="B95" s="12" t="inlineStr">
        <is>
          <t>Gjødsel og kalk</t>
        </is>
      </c>
      <c r="C95" s="44" t="inlineStr">
        <is>
          <t>4050, 4057, 4095</t>
        </is>
      </c>
      <c r="D95" s="12" t="inlineStr">
        <is>
          <t>+ saldo</t>
        </is>
      </c>
      <c r="E95" s="21" t="inlineStr">
        <is>
          <t>4050, 4057, 4095</t>
        </is>
      </c>
    </row>
    <row r="96">
      <c r="A96" s="12" t="inlineStr">
        <is>
          <t>Kålrot</t>
        </is>
      </c>
      <c r="B96" s="12" t="inlineStr">
        <is>
          <t>Plantevernmiddel</t>
        </is>
      </c>
      <c r="C96" s="44" t="inlineStr">
        <is>
          <t>4110, 4111, 4191</t>
        </is>
      </c>
      <c r="D96" s="12" t="inlineStr">
        <is>
          <t>+ saldo</t>
        </is>
      </c>
      <c r="E96" s="21" t="inlineStr">
        <is>
          <t>4110, 4111, 4191</t>
        </is>
      </c>
    </row>
    <row r="97">
      <c r="A97" s="12" t="inlineStr">
        <is>
          <t>Kålrot</t>
        </is>
      </c>
      <c r="B97" s="12" t="inlineStr">
        <is>
          <t>Frø</t>
        </is>
      </c>
      <c r="C97" s="44" t="inlineStr">
        <is>
          <t>4012</t>
        </is>
      </c>
      <c r="D97" s="12" t="inlineStr">
        <is>
          <t>+ saldo</t>
        </is>
      </c>
      <c r="E97" s="21" t="inlineStr">
        <is>
          <t>4012</t>
        </is>
      </c>
    </row>
    <row r="98">
      <c r="A98" s="12" t="inlineStr">
        <is>
          <t>Kålrot</t>
        </is>
      </c>
      <c r="B98" s="12" t="inlineStr">
        <is>
          <t>Emballasje</t>
        </is>
      </c>
      <c r="C98" s="44" t="inlineStr">
        <is>
          <t>4140-4142, 4194</t>
        </is>
      </c>
      <c r="D98" s="12" t="inlineStr">
        <is>
          <t>+ saldo</t>
        </is>
      </c>
      <c r="E98" s="21" t="inlineStr">
        <is>
          <t>4140-4142, 4194</t>
        </is>
      </c>
    </row>
    <row r="99">
      <c r="A99" s="12" t="inlineStr">
        <is>
          <t>Kålrot</t>
        </is>
      </c>
      <c r="B99" s="12" t="inlineStr">
        <is>
          <t>Andre variable kostnader</t>
        </is>
      </c>
      <c r="C99" s="44" t="inlineStr">
        <is>
          <t>4540-4549, 4160, 4170</t>
        </is>
      </c>
      <c r="D99" s="12" t="inlineStr">
        <is>
          <t>+ saldo</t>
        </is>
      </c>
      <c r="E99" s="21" t="inlineStr">
        <is>
          <t>4540-4549, 4160 + andre 4xxx</t>
        </is>
      </c>
    </row>
    <row r="100">
      <c r="A100" s="12" t="inlineStr">
        <is>
          <t>Mjølk</t>
        </is>
      </c>
      <c r="B100" s="12" t="inlineStr">
        <is>
          <t>Produksjonstilskot fordelt på produksjonen</t>
        </is>
      </c>
      <c r="C100" s="44" t="inlineStr">
        <is>
          <t>3400-3439, 3450-3499</t>
        </is>
      </c>
      <c r="D100" s="12" t="inlineStr">
        <is>
          <t>– saldo</t>
        </is>
      </c>
      <c r="E100" s="21" t="inlineStr">
        <is>
          <t>34xx (ikkje 344x avløysartilskot)</t>
        </is>
      </c>
    </row>
    <row r="101">
      <c r="A101" s="12" t="inlineStr">
        <is>
          <t>Mjølk</t>
        </is>
      </c>
      <c r="B101" s="12" t="inlineStr">
        <is>
          <t>Mjølk</t>
        </is>
      </c>
      <c r="C101" s="44" t="inlineStr">
        <is>
          <t>3070-3073, 3163, 3173</t>
        </is>
      </c>
      <c r="D101" s="12" t="inlineStr">
        <is>
          <t>– saldo</t>
        </is>
      </c>
      <c r="E101" s="21" t="inlineStr">
        <is>
          <t>3070-3073, 3163/3173 (.482)</t>
        </is>
      </c>
    </row>
    <row r="102">
      <c r="A102" s="12" t="inlineStr">
        <is>
          <t>Mjølk</t>
        </is>
      </c>
      <c r="B102" s="12" t="inlineStr">
        <is>
          <t>Slakt</t>
        </is>
      </c>
      <c r="C102" s="44" t="inlineStr">
        <is>
          <t>3040-3049, 3162, 3172, 3078</t>
        </is>
      </c>
      <c r="D102" s="12" t="inlineStr">
        <is>
          <t>– saldo</t>
        </is>
      </c>
      <c r="E102" s="21" t="inlineStr">
        <is>
          <t>3040-3049, 3162, 3172, 3078</t>
        </is>
      </c>
    </row>
    <row r="103">
      <c r="A103" s="12" t="inlineStr">
        <is>
          <t>Mjølk</t>
        </is>
      </c>
      <c r="B103" s="12" t="inlineStr">
        <is>
          <t>Livdyrsal</t>
        </is>
      </c>
      <c r="C103" s="44" t="inlineStr">
        <is>
          <t>3050-3059</t>
        </is>
      </c>
      <c r="D103" s="12" t="inlineStr">
        <is>
          <t>– saldo</t>
        </is>
      </c>
      <c r="E103" s="21" t="inlineStr">
        <is>
          <t>3050-3059</t>
        </is>
      </c>
    </row>
    <row r="104">
      <c r="A104" s="12" t="inlineStr">
        <is>
          <t>Mjølk</t>
        </is>
      </c>
      <c r="B104" s="12" t="inlineStr">
        <is>
          <t>Buskap, beholdningsendring (+ = auke)</t>
        </is>
      </c>
      <c r="C104" s="44" t="inlineStr">
        <is>
          <t>4690-4698</t>
        </is>
      </c>
      <c r="D104" s="12" t="inlineStr">
        <is>
          <t>– saldo</t>
        </is>
      </c>
      <c r="E104" s="21" t="inlineStr">
        <is>
          <t>4690-4698 (forteikn snudd)</t>
        </is>
      </c>
    </row>
    <row r="105">
      <c r="A105" s="12" t="inlineStr">
        <is>
          <t>Mjølk</t>
        </is>
      </c>
      <c r="B105" s="12" t="inlineStr">
        <is>
          <t>Såfrø / grasfrø</t>
        </is>
      </c>
      <c r="C105" s="44" t="inlineStr">
        <is>
          <t>4001</t>
        </is>
      </c>
      <c r="D105" s="12" t="inlineStr">
        <is>
          <t>+ saldo</t>
        </is>
      </c>
      <c r="E105" s="21" t="inlineStr">
        <is>
          <t>4001</t>
        </is>
      </c>
    </row>
    <row r="106">
      <c r="A106" s="12" t="inlineStr">
        <is>
          <t>Mjølk</t>
        </is>
      </c>
      <c r="B106" s="12" t="inlineStr">
        <is>
          <t>Plantevernmiddel</t>
        </is>
      </c>
      <c r="C106" s="44" t="inlineStr">
        <is>
          <t>4110, 4191</t>
        </is>
      </c>
      <c r="D106" s="12" t="inlineStr">
        <is>
          <t>+ saldo</t>
        </is>
      </c>
      <c r="E106" s="21" t="inlineStr">
        <is>
          <t>4110, 4191</t>
        </is>
      </c>
    </row>
    <row r="107">
      <c r="A107" s="12" t="inlineStr">
        <is>
          <t>Mjølk</t>
        </is>
      </c>
      <c r="B107" s="12" t="inlineStr">
        <is>
          <t>Rundballeplast mm.</t>
        </is>
      </c>
      <c r="C107" s="44" t="inlineStr">
        <is>
          <t>4140, 4194</t>
        </is>
      </c>
      <c r="D107" s="12" t="inlineStr">
        <is>
          <t>+ saldo</t>
        </is>
      </c>
      <c r="E107" s="21" t="inlineStr">
        <is>
          <t>4140, 4194</t>
        </is>
      </c>
    </row>
    <row r="108">
      <c r="A108" s="12" t="inlineStr">
        <is>
          <t>Mjølk</t>
        </is>
      </c>
      <c r="B108" s="12" t="inlineStr">
        <is>
          <t>Handelsgjødsel</t>
        </is>
      </c>
      <c r="C108" s="44" t="inlineStr">
        <is>
          <t>4050, 4095</t>
        </is>
      </c>
      <c r="D108" s="12" t="inlineStr">
        <is>
          <t>+ saldo</t>
        </is>
      </c>
      <c r="E108" s="21" t="inlineStr">
        <is>
          <t>4050, 4095</t>
        </is>
      </c>
    </row>
    <row r="109">
      <c r="A109" s="12" t="inlineStr">
        <is>
          <t>Mjølk</t>
        </is>
      </c>
      <c r="B109" s="12" t="inlineStr">
        <is>
          <t>Kalk</t>
        </is>
      </c>
      <c r="C109" s="44" t="inlineStr">
        <is>
          <t>4057</t>
        </is>
      </c>
      <c r="D109" s="12" t="inlineStr">
        <is>
          <t>+ saldo</t>
        </is>
      </c>
      <c r="E109" s="21" t="inlineStr">
        <is>
          <t>4057</t>
        </is>
      </c>
    </row>
    <row r="110">
      <c r="A110" s="12" t="inlineStr">
        <is>
          <t>Mjølk</t>
        </is>
      </c>
      <c r="B110" s="12" t="inlineStr">
        <is>
          <t>Konserveringsmiddel</t>
        </is>
      </c>
      <c r="C110" s="44" t="inlineStr">
        <is>
          <t>4080, 4098</t>
        </is>
      </c>
      <c r="D110" s="12" t="inlineStr">
        <is>
          <t>+ saldo</t>
        </is>
      </c>
      <c r="E110" s="21" t="inlineStr">
        <is>
          <t>4080, 4098</t>
        </is>
      </c>
    </row>
    <row r="111">
      <c r="A111" s="12" t="inlineStr">
        <is>
          <t>Mjølk</t>
        </is>
      </c>
      <c r="B111" s="12" t="inlineStr">
        <is>
          <t>Endring anna varelager (variable kostn.)</t>
        </is>
      </c>
      <c r="C111" s="44" t="inlineStr">
        <is>
          <t>4090</t>
        </is>
      </c>
      <c r="D111" s="12" t="inlineStr">
        <is>
          <t>+ saldo</t>
        </is>
      </c>
      <c r="E111" s="21" t="inlineStr">
        <is>
          <t>4090</t>
        </is>
      </c>
    </row>
    <row r="112">
      <c r="A112" s="12" t="inlineStr">
        <is>
          <t>Mjølk</t>
        </is>
      </c>
      <c r="B112" s="12" t="inlineStr">
        <is>
          <t>Endring eigenprodusert grovfôr (+ = nedgang i lager)</t>
        </is>
      </c>
      <c r="C112" s="44" t="inlineStr">
        <is>
          <t>4297</t>
        </is>
      </c>
      <c r="D112" s="12" t="inlineStr">
        <is>
          <t>+ saldo</t>
        </is>
      </c>
      <c r="E112" s="21" t="inlineStr">
        <is>
          <t>4297</t>
        </is>
      </c>
    </row>
    <row r="113">
      <c r="A113" s="12" t="inlineStr">
        <is>
          <t>Mjølk</t>
        </is>
      </c>
      <c r="B113" s="12" t="inlineStr">
        <is>
          <t>Kjøp grovfôr</t>
        </is>
      </c>
      <c r="C113" s="44" t="inlineStr">
        <is>
          <t>4030</t>
        </is>
      </c>
      <c r="D113" s="12" t="inlineStr">
        <is>
          <t>+ saldo</t>
        </is>
      </c>
      <c r="E113" s="21" t="inlineStr">
        <is>
          <t>4030</t>
        </is>
      </c>
    </row>
    <row r="114">
      <c r="A114" s="12" t="inlineStr">
        <is>
          <t>Mjølk</t>
        </is>
      </c>
      <c r="B114" s="12" t="inlineStr">
        <is>
          <t>Beiteleige / dyr på beite</t>
        </is>
      </c>
      <c r="C114" s="44" t="inlineStr">
        <is>
          <t>4031</t>
        </is>
      </c>
      <c r="D114" s="12" t="inlineStr">
        <is>
          <t>+ saldo</t>
        </is>
      </c>
      <c r="E114" s="21" t="inlineStr">
        <is>
          <t>4031</t>
        </is>
      </c>
    </row>
    <row r="115">
      <c r="A115" s="12" t="inlineStr">
        <is>
          <t>Mjølk</t>
        </is>
      </c>
      <c r="B115" s="12" t="inlineStr">
        <is>
          <t>Endring innkjøpt grovfôrlager</t>
        </is>
      </c>
      <c r="C115" s="44" t="inlineStr">
        <is>
          <t>4093</t>
        </is>
      </c>
      <c r="D115" s="12" t="inlineStr">
        <is>
          <t>+ saldo</t>
        </is>
      </c>
      <c r="E115" s="21" t="inlineStr">
        <is>
          <t>4093</t>
        </is>
      </c>
    </row>
    <row r="116">
      <c r="A116" s="12" t="inlineStr">
        <is>
          <t>Mjølk</t>
        </is>
      </c>
      <c r="B116" s="12" t="inlineStr">
        <is>
          <t>Kraftfôr mm.</t>
        </is>
      </c>
      <c r="C116" s="44" t="inlineStr">
        <is>
          <t>4020-4029, 4040-4049, 4092, 4094</t>
        </is>
      </c>
      <c r="D116" s="12" t="inlineStr">
        <is>
          <t>+ saldo</t>
        </is>
      </c>
      <c r="E116" s="21" t="inlineStr">
        <is>
          <t>4020-4029, 4040-4049, 4092, 4094</t>
        </is>
      </c>
    </row>
    <row r="117">
      <c r="A117" s="12" t="inlineStr">
        <is>
          <t>Mjølk</t>
        </is>
      </c>
      <c r="B117" s="12" t="inlineStr">
        <is>
          <t>Veterinær, medisin, semin mm.</t>
        </is>
      </c>
      <c r="C117" s="44" t="inlineStr">
        <is>
          <t>4120, 4192, 4520-4529</t>
        </is>
      </c>
      <c r="D117" s="12" t="inlineStr">
        <is>
          <t>+ saldo</t>
        </is>
      </c>
      <c r="E117" s="21" t="inlineStr">
        <is>
          <t>4120, 4192, 4520-4529</t>
        </is>
      </c>
    </row>
    <row r="118">
      <c r="A118" s="12" t="inlineStr">
        <is>
          <t>Mjølk</t>
        </is>
      </c>
      <c r="B118" s="12" t="inlineStr">
        <is>
          <t>Innkjøp dyr</t>
        </is>
      </c>
      <c r="C118" s="44" t="inlineStr">
        <is>
          <t>4600-4689</t>
        </is>
      </c>
      <c r="D118" s="12" t="inlineStr">
        <is>
          <t>+ saldo</t>
        </is>
      </c>
      <c r="E118" s="21" t="inlineStr">
        <is>
          <t>4600-4689</t>
        </is>
      </c>
    </row>
    <row r="119">
      <c r="A119" s="12" t="inlineStr">
        <is>
          <t>Mjølk</t>
        </is>
      </c>
      <c r="B119" s="12" t="inlineStr">
        <is>
          <t>Andre variable kostnader</t>
        </is>
      </c>
      <c r="C119" s="44" t="inlineStr">
        <is>
          <t>4130-4139, 4193, 4530-4549, 4560-4569</t>
        </is>
      </c>
      <c r="D119" s="12" t="inlineStr">
        <is>
          <t>+ saldo</t>
        </is>
      </c>
      <c r="E119" s="21" t="inlineStr">
        <is>
          <t>4130-4139, 4193, 4530-4549, 4560-4569 + andre 4xxx</t>
        </is>
      </c>
    </row>
    <row r="120">
      <c r="A120" s="12" t="inlineStr">
        <is>
          <t>Oksar</t>
        </is>
      </c>
      <c r="B120" s="12" t="inlineStr">
        <is>
          <t>Produksjonstilskot fordelt på produksjonen</t>
        </is>
      </c>
      <c r="C120" s="44" t="inlineStr">
        <is>
          <t>3400-3439, 3450-3499</t>
        </is>
      </c>
      <c r="D120" s="12" t="inlineStr">
        <is>
          <t>– saldo</t>
        </is>
      </c>
      <c r="E120" s="21" t="inlineStr">
        <is>
          <t>34xx (ikkje 344x avløysartilskot)</t>
        </is>
      </c>
    </row>
    <row r="121">
      <c r="A121" s="12" t="inlineStr">
        <is>
          <t>Oksar</t>
        </is>
      </c>
      <c r="B121" s="12" t="inlineStr">
        <is>
          <t>Slakt</t>
        </is>
      </c>
      <c r="C121" s="44" t="inlineStr">
        <is>
          <t>3040-3049, 3162, 3172, 3078</t>
        </is>
      </c>
      <c r="D121" s="12" t="inlineStr">
        <is>
          <t>– saldo</t>
        </is>
      </c>
      <c r="E121" s="21" t="inlineStr">
        <is>
          <t>3040-3049, 3162, 3172, 3078</t>
        </is>
      </c>
    </row>
    <row r="122">
      <c r="A122" s="12" t="inlineStr">
        <is>
          <t>Oksar</t>
        </is>
      </c>
      <c r="B122" s="12" t="inlineStr">
        <is>
          <t>Livdyrsal</t>
        </is>
      </c>
      <c r="C122" s="44" t="inlineStr">
        <is>
          <t>3050-3059</t>
        </is>
      </c>
      <c r="D122" s="12" t="inlineStr">
        <is>
          <t>– saldo</t>
        </is>
      </c>
      <c r="E122" s="21" t="inlineStr">
        <is>
          <t>3050-3059</t>
        </is>
      </c>
    </row>
    <row r="123">
      <c r="A123" s="12" t="inlineStr">
        <is>
          <t>Oksar</t>
        </is>
      </c>
      <c r="B123" s="12" t="inlineStr">
        <is>
          <t>Buskap, beholdningsendring (+ = auke)</t>
        </is>
      </c>
      <c r="C123" s="44" t="inlineStr">
        <is>
          <t>4690-4698</t>
        </is>
      </c>
      <c r="D123" s="12" t="inlineStr">
        <is>
          <t>– saldo</t>
        </is>
      </c>
      <c r="E123" s="21" t="inlineStr">
        <is>
          <t>4690-4698 (forteikn snudd)</t>
        </is>
      </c>
    </row>
    <row r="124">
      <c r="A124" s="12" t="inlineStr">
        <is>
          <t>Oksar</t>
        </is>
      </c>
      <c r="B124" s="12" t="inlineStr">
        <is>
          <t>Såfrø / grasfrø</t>
        </is>
      </c>
      <c r="C124" s="44" t="inlineStr">
        <is>
          <t>4001</t>
        </is>
      </c>
      <c r="D124" s="12" t="inlineStr">
        <is>
          <t>+ saldo</t>
        </is>
      </c>
      <c r="E124" s="21" t="inlineStr">
        <is>
          <t>4001</t>
        </is>
      </c>
    </row>
    <row r="125">
      <c r="A125" s="12" t="inlineStr">
        <is>
          <t>Oksar</t>
        </is>
      </c>
      <c r="B125" s="12" t="inlineStr">
        <is>
          <t>Plantevernmiddel</t>
        </is>
      </c>
      <c r="C125" s="44" t="inlineStr">
        <is>
          <t>4110, 4191</t>
        </is>
      </c>
      <c r="D125" s="12" t="inlineStr">
        <is>
          <t>+ saldo</t>
        </is>
      </c>
      <c r="E125" s="21" t="inlineStr">
        <is>
          <t>4110, 4191</t>
        </is>
      </c>
    </row>
    <row r="126">
      <c r="A126" s="12" t="inlineStr">
        <is>
          <t>Oksar</t>
        </is>
      </c>
      <c r="B126" s="12" t="inlineStr">
        <is>
          <t>Rundballeplast mm.</t>
        </is>
      </c>
      <c r="C126" s="44" t="inlineStr">
        <is>
          <t>4140, 4194</t>
        </is>
      </c>
      <c r="D126" s="12" t="inlineStr">
        <is>
          <t>+ saldo</t>
        </is>
      </c>
      <c r="E126" s="21" t="inlineStr">
        <is>
          <t>4140, 4194</t>
        </is>
      </c>
    </row>
    <row r="127">
      <c r="A127" s="12" t="inlineStr">
        <is>
          <t>Oksar</t>
        </is>
      </c>
      <c r="B127" s="12" t="inlineStr">
        <is>
          <t>Handelsgjødsel</t>
        </is>
      </c>
      <c r="C127" s="44" t="inlineStr">
        <is>
          <t>4050, 4095</t>
        </is>
      </c>
      <c r="D127" s="12" t="inlineStr">
        <is>
          <t>+ saldo</t>
        </is>
      </c>
      <c r="E127" s="21" t="inlineStr">
        <is>
          <t>4050, 4095</t>
        </is>
      </c>
    </row>
    <row r="128">
      <c r="A128" s="12" t="inlineStr">
        <is>
          <t>Oksar</t>
        </is>
      </c>
      <c r="B128" s="12" t="inlineStr">
        <is>
          <t>Kalk</t>
        </is>
      </c>
      <c r="C128" s="44" t="inlineStr">
        <is>
          <t>4057</t>
        </is>
      </c>
      <c r="D128" s="12" t="inlineStr">
        <is>
          <t>+ saldo</t>
        </is>
      </c>
      <c r="E128" s="21" t="inlineStr">
        <is>
          <t>4057</t>
        </is>
      </c>
    </row>
    <row r="129">
      <c r="A129" s="12" t="inlineStr">
        <is>
          <t>Oksar</t>
        </is>
      </c>
      <c r="B129" s="12" t="inlineStr">
        <is>
          <t>Konserveringsmiddel</t>
        </is>
      </c>
      <c r="C129" s="44" t="inlineStr">
        <is>
          <t>4080, 4098</t>
        </is>
      </c>
      <c r="D129" s="12" t="inlineStr">
        <is>
          <t>+ saldo</t>
        </is>
      </c>
      <c r="E129" s="21" t="inlineStr">
        <is>
          <t>4080, 4098</t>
        </is>
      </c>
    </row>
    <row r="130">
      <c r="A130" s="12" t="inlineStr">
        <is>
          <t>Oksar</t>
        </is>
      </c>
      <c r="B130" s="12" t="inlineStr">
        <is>
          <t>Endring anna varelager (variable kostn.)</t>
        </is>
      </c>
      <c r="C130" s="44" t="inlineStr">
        <is>
          <t>4090</t>
        </is>
      </c>
      <c r="D130" s="12" t="inlineStr">
        <is>
          <t>+ saldo</t>
        </is>
      </c>
      <c r="E130" s="21" t="inlineStr">
        <is>
          <t>4090</t>
        </is>
      </c>
    </row>
    <row r="131">
      <c r="A131" s="12" t="inlineStr">
        <is>
          <t>Oksar</t>
        </is>
      </c>
      <c r="B131" s="12" t="inlineStr">
        <is>
          <t>Endring eigenprodusert grovfôr (+ = nedgang i lager)</t>
        </is>
      </c>
      <c r="C131" s="44" t="inlineStr">
        <is>
          <t>4297</t>
        </is>
      </c>
      <c r="D131" s="12" t="inlineStr">
        <is>
          <t>+ saldo</t>
        </is>
      </c>
      <c r="E131" s="21" t="inlineStr">
        <is>
          <t>4297</t>
        </is>
      </c>
    </row>
    <row r="132">
      <c r="A132" s="12" t="inlineStr">
        <is>
          <t>Oksar</t>
        </is>
      </c>
      <c r="B132" s="12" t="inlineStr">
        <is>
          <t>Kjøp grovfôr</t>
        </is>
      </c>
      <c r="C132" s="44" t="inlineStr">
        <is>
          <t>4030</t>
        </is>
      </c>
      <c r="D132" s="12" t="inlineStr">
        <is>
          <t>+ saldo</t>
        </is>
      </c>
      <c r="E132" s="21" t="inlineStr">
        <is>
          <t>4030</t>
        </is>
      </c>
    </row>
    <row r="133">
      <c r="A133" s="12" t="inlineStr">
        <is>
          <t>Oksar</t>
        </is>
      </c>
      <c r="B133" s="12" t="inlineStr">
        <is>
          <t>Beiteleige / dyr på beite</t>
        </is>
      </c>
      <c r="C133" s="44" t="inlineStr">
        <is>
          <t>4031</t>
        </is>
      </c>
      <c r="D133" s="12" t="inlineStr">
        <is>
          <t>+ saldo</t>
        </is>
      </c>
      <c r="E133" s="21" t="inlineStr">
        <is>
          <t>4031</t>
        </is>
      </c>
    </row>
    <row r="134">
      <c r="A134" s="12" t="inlineStr">
        <is>
          <t>Oksar</t>
        </is>
      </c>
      <c r="B134" s="12" t="inlineStr">
        <is>
          <t>Endring innkjøpt grovfôrlager</t>
        </is>
      </c>
      <c r="C134" s="44" t="inlineStr">
        <is>
          <t>4093</t>
        </is>
      </c>
      <c r="D134" s="12" t="inlineStr">
        <is>
          <t>+ saldo</t>
        </is>
      </c>
      <c r="E134" s="21" t="inlineStr">
        <is>
          <t>4093</t>
        </is>
      </c>
    </row>
    <row r="135">
      <c r="A135" s="12" t="inlineStr">
        <is>
          <t>Oksar</t>
        </is>
      </c>
      <c r="B135" s="12" t="inlineStr">
        <is>
          <t>Kraftfôr mm.</t>
        </is>
      </c>
      <c r="C135" s="44" t="inlineStr">
        <is>
          <t>4020-4029, 4040-4049, 4092, 4094</t>
        </is>
      </c>
      <c r="D135" s="12" t="inlineStr">
        <is>
          <t>+ saldo</t>
        </is>
      </c>
      <c r="E135" s="21" t="inlineStr">
        <is>
          <t>4020-4029, 4040-4049, 4092, 4094</t>
        </is>
      </c>
    </row>
    <row r="136">
      <c r="A136" s="12" t="inlineStr">
        <is>
          <t>Oksar</t>
        </is>
      </c>
      <c r="B136" s="12" t="inlineStr">
        <is>
          <t>Veterinær, medisin, semin mm.</t>
        </is>
      </c>
      <c r="C136" s="44" t="inlineStr">
        <is>
          <t>4120, 4192, 4520-4529</t>
        </is>
      </c>
      <c r="D136" s="12" t="inlineStr">
        <is>
          <t>+ saldo</t>
        </is>
      </c>
      <c r="E136" s="21" t="inlineStr">
        <is>
          <t>4120, 4192, 4520-4529</t>
        </is>
      </c>
    </row>
    <row r="137">
      <c r="A137" s="12" t="inlineStr">
        <is>
          <t>Oksar</t>
        </is>
      </c>
      <c r="B137" s="12" t="inlineStr">
        <is>
          <t>Innkjøp dyr</t>
        </is>
      </c>
      <c r="C137" s="44" t="inlineStr">
        <is>
          <t>4600-4689</t>
        </is>
      </c>
      <c r="D137" s="12" t="inlineStr">
        <is>
          <t>+ saldo</t>
        </is>
      </c>
      <c r="E137" s="21" t="inlineStr">
        <is>
          <t>4600-4689</t>
        </is>
      </c>
    </row>
    <row r="138">
      <c r="A138" s="12" t="inlineStr">
        <is>
          <t>Oksar</t>
        </is>
      </c>
      <c r="B138" s="12" t="inlineStr">
        <is>
          <t>Andre variable kostnader</t>
        </is>
      </c>
      <c r="C138" s="44" t="inlineStr">
        <is>
          <t>4130-4139, 4193, 4530-4549, 4560-4569</t>
        </is>
      </c>
      <c r="D138" s="12" t="inlineStr">
        <is>
          <t>+ saldo</t>
        </is>
      </c>
      <c r="E138" s="21" t="inlineStr">
        <is>
          <t>4130-4139, 4193, 4530-4549, 4560-4569 + andre 4xxx</t>
        </is>
      </c>
    </row>
    <row r="139">
      <c r="A139" s="12" t="inlineStr">
        <is>
          <t>Mellomkalv</t>
        </is>
      </c>
      <c r="B139" s="12" t="inlineStr">
        <is>
          <t>Produksjonstilskot fordelt på produksjonen</t>
        </is>
      </c>
      <c r="C139" s="44" t="inlineStr">
        <is>
          <t>3400-3439, 3450-3499</t>
        </is>
      </c>
      <c r="D139" s="12" t="inlineStr">
        <is>
          <t>– saldo</t>
        </is>
      </c>
      <c r="E139" s="21" t="inlineStr">
        <is>
          <t>34xx (ikkje 344x avløysartilskot)</t>
        </is>
      </c>
    </row>
    <row r="140">
      <c r="A140" s="12" t="inlineStr">
        <is>
          <t>Mellomkalv</t>
        </is>
      </c>
      <c r="B140" s="12" t="inlineStr">
        <is>
          <t>Slakt</t>
        </is>
      </c>
      <c r="C140" s="44" t="inlineStr">
        <is>
          <t>3040-3049, 3162, 3172, 3078</t>
        </is>
      </c>
      <c r="D140" s="12" t="inlineStr">
        <is>
          <t>– saldo</t>
        </is>
      </c>
      <c r="E140" s="21" t="inlineStr">
        <is>
          <t>3040-3049, 3162, 3172, 3078</t>
        </is>
      </c>
    </row>
    <row r="141">
      <c r="A141" s="12" t="inlineStr">
        <is>
          <t>Mellomkalv</t>
        </is>
      </c>
      <c r="B141" s="12" t="inlineStr">
        <is>
          <t>Livdyrsal</t>
        </is>
      </c>
      <c r="C141" s="44" t="inlineStr">
        <is>
          <t>3050-3059</t>
        </is>
      </c>
      <c r="D141" s="12" t="inlineStr">
        <is>
          <t>– saldo</t>
        </is>
      </c>
      <c r="E141" s="21" t="inlineStr">
        <is>
          <t>3050-3059</t>
        </is>
      </c>
    </row>
    <row r="142">
      <c r="A142" s="12" t="inlineStr">
        <is>
          <t>Mellomkalv</t>
        </is>
      </c>
      <c r="B142" s="12" t="inlineStr">
        <is>
          <t>Buskap, beholdningsendring (+ = auke)</t>
        </is>
      </c>
      <c r="C142" s="44" t="inlineStr">
        <is>
          <t>4690-4698</t>
        </is>
      </c>
      <c r="D142" s="12" t="inlineStr">
        <is>
          <t>– saldo</t>
        </is>
      </c>
      <c r="E142" s="21" t="inlineStr">
        <is>
          <t>4690-4698 (forteikn snudd)</t>
        </is>
      </c>
    </row>
    <row r="143">
      <c r="A143" s="12" t="inlineStr">
        <is>
          <t>Mellomkalv</t>
        </is>
      </c>
      <c r="B143" s="12" t="inlineStr">
        <is>
          <t>Såfrø / grasfrø</t>
        </is>
      </c>
      <c r="C143" s="44" t="inlineStr">
        <is>
          <t>4001</t>
        </is>
      </c>
      <c r="D143" s="12" t="inlineStr">
        <is>
          <t>+ saldo</t>
        </is>
      </c>
      <c r="E143" s="21" t="inlineStr">
        <is>
          <t>4001</t>
        </is>
      </c>
    </row>
    <row r="144">
      <c r="A144" s="12" t="inlineStr">
        <is>
          <t>Mellomkalv</t>
        </is>
      </c>
      <c r="B144" s="12" t="inlineStr">
        <is>
          <t>Plantevernmiddel</t>
        </is>
      </c>
      <c r="C144" s="44" t="inlineStr">
        <is>
          <t>4110, 4191</t>
        </is>
      </c>
      <c r="D144" s="12" t="inlineStr">
        <is>
          <t>+ saldo</t>
        </is>
      </c>
      <c r="E144" s="21" t="inlineStr">
        <is>
          <t>4110, 4191</t>
        </is>
      </c>
    </row>
    <row r="145">
      <c r="A145" s="12" t="inlineStr">
        <is>
          <t>Mellomkalv</t>
        </is>
      </c>
      <c r="B145" s="12" t="inlineStr">
        <is>
          <t>Rundballeplast mm.</t>
        </is>
      </c>
      <c r="C145" s="44" t="inlineStr">
        <is>
          <t>4140, 4194</t>
        </is>
      </c>
      <c r="D145" s="12" t="inlineStr">
        <is>
          <t>+ saldo</t>
        </is>
      </c>
      <c r="E145" s="21" t="inlineStr">
        <is>
          <t>4140, 4194</t>
        </is>
      </c>
    </row>
    <row r="146">
      <c r="A146" s="12" t="inlineStr">
        <is>
          <t>Mellomkalv</t>
        </is>
      </c>
      <c r="B146" s="12" t="inlineStr">
        <is>
          <t>Handelsgjødsel</t>
        </is>
      </c>
      <c r="C146" s="44" t="inlineStr">
        <is>
          <t>4050, 4095</t>
        </is>
      </c>
      <c r="D146" s="12" t="inlineStr">
        <is>
          <t>+ saldo</t>
        </is>
      </c>
      <c r="E146" s="21" t="inlineStr">
        <is>
          <t>4050, 4095</t>
        </is>
      </c>
    </row>
    <row r="147">
      <c r="A147" s="12" t="inlineStr">
        <is>
          <t>Mellomkalv</t>
        </is>
      </c>
      <c r="B147" s="12" t="inlineStr">
        <is>
          <t>Kalk</t>
        </is>
      </c>
      <c r="C147" s="44" t="inlineStr">
        <is>
          <t>4057</t>
        </is>
      </c>
      <c r="D147" s="12" t="inlineStr">
        <is>
          <t>+ saldo</t>
        </is>
      </c>
      <c r="E147" s="21" t="inlineStr">
        <is>
          <t>4057</t>
        </is>
      </c>
    </row>
    <row r="148">
      <c r="A148" s="12" t="inlineStr">
        <is>
          <t>Mellomkalv</t>
        </is>
      </c>
      <c r="B148" s="12" t="inlineStr">
        <is>
          <t>Konserveringsmiddel</t>
        </is>
      </c>
      <c r="C148" s="44" t="inlineStr">
        <is>
          <t>4080, 4098</t>
        </is>
      </c>
      <c r="D148" s="12" t="inlineStr">
        <is>
          <t>+ saldo</t>
        </is>
      </c>
      <c r="E148" s="21" t="inlineStr">
        <is>
          <t>4080, 4098</t>
        </is>
      </c>
    </row>
    <row r="149">
      <c r="A149" s="12" t="inlineStr">
        <is>
          <t>Mellomkalv</t>
        </is>
      </c>
      <c r="B149" s="12" t="inlineStr">
        <is>
          <t>Endring anna varelager (variable kostn.)</t>
        </is>
      </c>
      <c r="C149" s="44" t="inlineStr">
        <is>
          <t>4090</t>
        </is>
      </c>
      <c r="D149" s="12" t="inlineStr">
        <is>
          <t>+ saldo</t>
        </is>
      </c>
      <c r="E149" s="21" t="inlineStr">
        <is>
          <t>4090</t>
        </is>
      </c>
    </row>
    <row r="150">
      <c r="A150" s="12" t="inlineStr">
        <is>
          <t>Mellomkalv</t>
        </is>
      </c>
      <c r="B150" s="12" t="inlineStr">
        <is>
          <t>Endring eigenprodusert grovfôr (+ = nedgang i lager)</t>
        </is>
      </c>
      <c r="C150" s="44" t="inlineStr">
        <is>
          <t>4297</t>
        </is>
      </c>
      <c r="D150" s="12" t="inlineStr">
        <is>
          <t>+ saldo</t>
        </is>
      </c>
      <c r="E150" s="21" t="inlineStr">
        <is>
          <t>4297</t>
        </is>
      </c>
    </row>
    <row r="151">
      <c r="A151" s="12" t="inlineStr">
        <is>
          <t>Mellomkalv</t>
        </is>
      </c>
      <c r="B151" s="12" t="inlineStr">
        <is>
          <t>Kjøp grovfôr</t>
        </is>
      </c>
      <c r="C151" s="44" t="inlineStr">
        <is>
          <t>4030</t>
        </is>
      </c>
      <c r="D151" s="12" t="inlineStr">
        <is>
          <t>+ saldo</t>
        </is>
      </c>
      <c r="E151" s="21" t="inlineStr">
        <is>
          <t>4030</t>
        </is>
      </c>
    </row>
    <row r="152">
      <c r="A152" s="12" t="inlineStr">
        <is>
          <t>Mellomkalv</t>
        </is>
      </c>
      <c r="B152" s="12" t="inlineStr">
        <is>
          <t>Beiteleige / dyr på beite</t>
        </is>
      </c>
      <c r="C152" s="44" t="inlineStr">
        <is>
          <t>4031</t>
        </is>
      </c>
      <c r="D152" s="12" t="inlineStr">
        <is>
          <t>+ saldo</t>
        </is>
      </c>
      <c r="E152" s="21" t="inlineStr">
        <is>
          <t>4031</t>
        </is>
      </c>
    </row>
    <row r="153">
      <c r="A153" s="12" t="inlineStr">
        <is>
          <t>Mellomkalv</t>
        </is>
      </c>
      <c r="B153" s="12" t="inlineStr">
        <is>
          <t>Endring innkjøpt grovfôrlager</t>
        </is>
      </c>
      <c r="C153" s="44" t="inlineStr">
        <is>
          <t>4093</t>
        </is>
      </c>
      <c r="D153" s="12" t="inlineStr">
        <is>
          <t>+ saldo</t>
        </is>
      </c>
      <c r="E153" s="21" t="inlineStr">
        <is>
          <t>4093</t>
        </is>
      </c>
    </row>
    <row r="154">
      <c r="A154" s="12" t="inlineStr">
        <is>
          <t>Mellomkalv</t>
        </is>
      </c>
      <c r="B154" s="12" t="inlineStr">
        <is>
          <t>Kraftfôr mm.</t>
        </is>
      </c>
      <c r="C154" s="44" t="inlineStr">
        <is>
          <t>4020-4029, 4040-4049, 4092, 4094</t>
        </is>
      </c>
      <c r="D154" s="12" t="inlineStr">
        <is>
          <t>+ saldo</t>
        </is>
      </c>
      <c r="E154" s="21" t="inlineStr">
        <is>
          <t>4020-4029, 4040-4049, 4092, 4094</t>
        </is>
      </c>
    </row>
    <row r="155">
      <c r="A155" s="12" t="inlineStr">
        <is>
          <t>Mellomkalv</t>
        </is>
      </c>
      <c r="B155" s="12" t="inlineStr">
        <is>
          <t>Veterinær, medisin, semin mm.</t>
        </is>
      </c>
      <c r="C155" s="44" t="inlineStr">
        <is>
          <t>4120, 4192, 4520-4529</t>
        </is>
      </c>
      <c r="D155" s="12" t="inlineStr">
        <is>
          <t>+ saldo</t>
        </is>
      </c>
      <c r="E155" s="21" t="inlineStr">
        <is>
          <t>4120, 4192, 4520-4529</t>
        </is>
      </c>
    </row>
    <row r="156">
      <c r="A156" s="12" t="inlineStr">
        <is>
          <t>Mellomkalv</t>
        </is>
      </c>
      <c r="B156" s="12" t="inlineStr">
        <is>
          <t>Innkjøp dyr</t>
        </is>
      </c>
      <c r="C156" s="44" t="inlineStr">
        <is>
          <t>4600-4689</t>
        </is>
      </c>
      <c r="D156" s="12" t="inlineStr">
        <is>
          <t>+ saldo</t>
        </is>
      </c>
      <c r="E156" s="21" t="inlineStr">
        <is>
          <t>4600-4689</t>
        </is>
      </c>
    </row>
    <row r="157">
      <c r="A157" s="12" t="inlineStr">
        <is>
          <t>Mellomkalv</t>
        </is>
      </c>
      <c r="B157" s="12" t="inlineStr">
        <is>
          <t>Andre variable kostnader</t>
        </is>
      </c>
      <c r="C157" s="44" t="inlineStr">
        <is>
          <t>4130-4139, 4193, 4530-4549, 4560-4569</t>
        </is>
      </c>
      <c r="D157" s="12" t="inlineStr">
        <is>
          <t>+ saldo</t>
        </is>
      </c>
      <c r="E157" s="21" t="inlineStr">
        <is>
          <t>4130-4139, 4193, 4530-4549, 4560-4569 + andre 4xxx</t>
        </is>
      </c>
    </row>
    <row r="158">
      <c r="A158" s="12" t="inlineStr">
        <is>
          <t>Ammekyr</t>
        </is>
      </c>
      <c r="B158" s="12" t="inlineStr">
        <is>
          <t>Produksjonstilskot fordelt på produksjonen</t>
        </is>
      </c>
      <c r="C158" s="44" t="inlineStr">
        <is>
          <t>3400-3439, 3450-3499</t>
        </is>
      </c>
      <c r="D158" s="12" t="inlineStr">
        <is>
          <t>– saldo</t>
        </is>
      </c>
      <c r="E158" s="21" t="inlineStr">
        <is>
          <t>34xx (ikkje 344x avløysartilskot)</t>
        </is>
      </c>
    </row>
    <row r="159">
      <c r="A159" s="12" t="inlineStr">
        <is>
          <t>Ammekyr</t>
        </is>
      </c>
      <c r="B159" s="12" t="inlineStr">
        <is>
          <t>Livdyrsal</t>
        </is>
      </c>
      <c r="C159" s="44" t="inlineStr">
        <is>
          <t>3050-3059</t>
        </is>
      </c>
      <c r="D159" s="12" t="inlineStr">
        <is>
          <t>– saldo</t>
        </is>
      </c>
      <c r="E159" s="21" t="inlineStr">
        <is>
          <t>3050-3059</t>
        </is>
      </c>
    </row>
    <row r="160">
      <c r="A160" s="12" t="inlineStr">
        <is>
          <t>Ammekyr</t>
        </is>
      </c>
      <c r="B160" s="12" t="inlineStr">
        <is>
          <t>Slakt</t>
        </is>
      </c>
      <c r="C160" s="44" t="inlineStr">
        <is>
          <t>3040-3049, 3162, 3172, 3078</t>
        </is>
      </c>
      <c r="D160" s="12" t="inlineStr">
        <is>
          <t>– saldo</t>
        </is>
      </c>
      <c r="E160" s="21" t="inlineStr">
        <is>
          <t>3040-3049, 3162, 3172, 3078</t>
        </is>
      </c>
    </row>
    <row r="161">
      <c r="A161" s="12" t="inlineStr">
        <is>
          <t>Ammekyr</t>
        </is>
      </c>
      <c r="B161" s="12" t="inlineStr">
        <is>
          <t>Buskap, beholdningsendring (+ = auke)</t>
        </is>
      </c>
      <c r="C161" s="44" t="inlineStr">
        <is>
          <t>4690-4698</t>
        </is>
      </c>
      <c r="D161" s="12" t="inlineStr">
        <is>
          <t>– saldo</t>
        </is>
      </c>
      <c r="E161" s="21" t="inlineStr">
        <is>
          <t>4690-4698 (forteikn snudd)</t>
        </is>
      </c>
    </row>
    <row r="162">
      <c r="A162" s="12" t="inlineStr">
        <is>
          <t>Ammekyr</t>
        </is>
      </c>
      <c r="B162" s="12" t="inlineStr">
        <is>
          <t>Såfrø / grasfrø</t>
        </is>
      </c>
      <c r="C162" s="44" t="inlineStr">
        <is>
          <t>4001</t>
        </is>
      </c>
      <c r="D162" s="12" t="inlineStr">
        <is>
          <t>+ saldo</t>
        </is>
      </c>
      <c r="E162" s="21" t="inlineStr">
        <is>
          <t>4001</t>
        </is>
      </c>
    </row>
    <row r="163">
      <c r="A163" s="12" t="inlineStr">
        <is>
          <t>Ammekyr</t>
        </is>
      </c>
      <c r="B163" s="12" t="inlineStr">
        <is>
          <t>Plantevernmiddel</t>
        </is>
      </c>
      <c r="C163" s="44" t="inlineStr">
        <is>
          <t>4110, 4191</t>
        </is>
      </c>
      <c r="D163" s="12" t="inlineStr">
        <is>
          <t>+ saldo</t>
        </is>
      </c>
      <c r="E163" s="21" t="inlineStr">
        <is>
          <t>4110, 4191</t>
        </is>
      </c>
    </row>
    <row r="164">
      <c r="A164" s="12" t="inlineStr">
        <is>
          <t>Ammekyr</t>
        </is>
      </c>
      <c r="B164" s="12" t="inlineStr">
        <is>
          <t>Rundballeplast mm.</t>
        </is>
      </c>
      <c r="C164" s="44" t="inlineStr">
        <is>
          <t>4140, 4194</t>
        </is>
      </c>
      <c r="D164" s="12" t="inlineStr">
        <is>
          <t>+ saldo</t>
        </is>
      </c>
      <c r="E164" s="21" t="inlineStr">
        <is>
          <t>4140, 4194</t>
        </is>
      </c>
    </row>
    <row r="165">
      <c r="A165" s="12" t="inlineStr">
        <is>
          <t>Ammekyr</t>
        </is>
      </c>
      <c r="B165" s="12" t="inlineStr">
        <is>
          <t>Handelsgjødsel</t>
        </is>
      </c>
      <c r="C165" s="44" t="inlineStr">
        <is>
          <t>4050, 4095</t>
        </is>
      </c>
      <c r="D165" s="12" t="inlineStr">
        <is>
          <t>+ saldo</t>
        </is>
      </c>
      <c r="E165" s="21" t="inlineStr">
        <is>
          <t>4050, 4095</t>
        </is>
      </c>
    </row>
    <row r="166">
      <c r="A166" s="12" t="inlineStr">
        <is>
          <t>Ammekyr</t>
        </is>
      </c>
      <c r="B166" s="12" t="inlineStr">
        <is>
          <t>Kalk</t>
        </is>
      </c>
      <c r="C166" s="44" t="inlineStr">
        <is>
          <t>4057</t>
        </is>
      </c>
      <c r="D166" s="12" t="inlineStr">
        <is>
          <t>+ saldo</t>
        </is>
      </c>
      <c r="E166" s="21" t="inlineStr">
        <is>
          <t>4057</t>
        </is>
      </c>
    </row>
    <row r="167">
      <c r="A167" s="12" t="inlineStr">
        <is>
          <t>Ammekyr</t>
        </is>
      </c>
      <c r="B167" s="12" t="inlineStr">
        <is>
          <t>Konserveringsmiddel</t>
        </is>
      </c>
      <c r="C167" s="44" t="inlineStr">
        <is>
          <t>4080, 4098</t>
        </is>
      </c>
      <c r="D167" s="12" t="inlineStr">
        <is>
          <t>+ saldo</t>
        </is>
      </c>
      <c r="E167" s="21" t="inlineStr">
        <is>
          <t>4080, 4098</t>
        </is>
      </c>
    </row>
    <row r="168">
      <c r="A168" s="12" t="inlineStr">
        <is>
          <t>Ammekyr</t>
        </is>
      </c>
      <c r="B168" s="12" t="inlineStr">
        <is>
          <t>Endring anna varelager (variable kostn.)</t>
        </is>
      </c>
      <c r="C168" s="44" t="inlineStr">
        <is>
          <t>4090</t>
        </is>
      </c>
      <c r="D168" s="12" t="inlineStr">
        <is>
          <t>+ saldo</t>
        </is>
      </c>
      <c r="E168" s="21" t="inlineStr">
        <is>
          <t>4090</t>
        </is>
      </c>
    </row>
    <row r="169">
      <c r="A169" s="12" t="inlineStr">
        <is>
          <t>Ammekyr</t>
        </is>
      </c>
      <c r="B169" s="12" t="inlineStr">
        <is>
          <t>Endring eigenprodusert grovfôr (+ = nedgang i lager)</t>
        </is>
      </c>
      <c r="C169" s="44" t="inlineStr">
        <is>
          <t>4297</t>
        </is>
      </c>
      <c r="D169" s="12" t="inlineStr">
        <is>
          <t>+ saldo</t>
        </is>
      </c>
      <c r="E169" s="21" t="inlineStr">
        <is>
          <t>4297</t>
        </is>
      </c>
    </row>
    <row r="170">
      <c r="A170" s="12" t="inlineStr">
        <is>
          <t>Ammekyr</t>
        </is>
      </c>
      <c r="B170" s="12" t="inlineStr">
        <is>
          <t>Kjøp grovfôr</t>
        </is>
      </c>
      <c r="C170" s="44" t="inlineStr">
        <is>
          <t>4030</t>
        </is>
      </c>
      <c r="D170" s="12" t="inlineStr">
        <is>
          <t>+ saldo</t>
        </is>
      </c>
      <c r="E170" s="21" t="inlineStr">
        <is>
          <t>4030</t>
        </is>
      </c>
    </row>
    <row r="171">
      <c r="A171" s="12" t="inlineStr">
        <is>
          <t>Ammekyr</t>
        </is>
      </c>
      <c r="B171" s="12" t="inlineStr">
        <is>
          <t>Beiteleige / dyr på beite</t>
        </is>
      </c>
      <c r="C171" s="44" t="inlineStr">
        <is>
          <t>4031</t>
        </is>
      </c>
      <c r="D171" s="12" t="inlineStr">
        <is>
          <t>+ saldo</t>
        </is>
      </c>
      <c r="E171" s="21" t="inlineStr">
        <is>
          <t>4031</t>
        </is>
      </c>
    </row>
    <row r="172">
      <c r="A172" s="12" t="inlineStr">
        <is>
          <t>Ammekyr</t>
        </is>
      </c>
      <c r="B172" s="12" t="inlineStr">
        <is>
          <t>Endring innkjøpt grovfôrlager</t>
        </is>
      </c>
      <c r="C172" s="44" t="inlineStr">
        <is>
          <t>4093</t>
        </is>
      </c>
      <c r="D172" s="12" t="inlineStr">
        <is>
          <t>+ saldo</t>
        </is>
      </c>
      <c r="E172" s="21" t="inlineStr">
        <is>
          <t>4093</t>
        </is>
      </c>
    </row>
    <row r="173">
      <c r="A173" s="12" t="inlineStr">
        <is>
          <t>Ammekyr</t>
        </is>
      </c>
      <c r="B173" s="12" t="inlineStr">
        <is>
          <t>Kraftfôr mm.</t>
        </is>
      </c>
      <c r="C173" s="44" t="inlineStr">
        <is>
          <t>4020-4029, 4040-4049, 4092, 4094</t>
        </is>
      </c>
      <c r="D173" s="12" t="inlineStr">
        <is>
          <t>+ saldo</t>
        </is>
      </c>
      <c r="E173" s="21" t="inlineStr">
        <is>
          <t>4020-4029, 4040-4049, 4092, 4094</t>
        </is>
      </c>
    </row>
    <row r="174">
      <c r="A174" s="12" t="inlineStr">
        <is>
          <t>Ammekyr</t>
        </is>
      </c>
      <c r="B174" s="12" t="inlineStr">
        <is>
          <t>Veterinær, medisin, semin mm.</t>
        </is>
      </c>
      <c r="C174" s="44" t="inlineStr">
        <is>
          <t>4120, 4192, 4520-4529</t>
        </is>
      </c>
      <c r="D174" s="12" t="inlineStr">
        <is>
          <t>+ saldo</t>
        </is>
      </c>
      <c r="E174" s="21" t="inlineStr">
        <is>
          <t>4120, 4192, 4520-4529</t>
        </is>
      </c>
    </row>
    <row r="175">
      <c r="A175" s="12" t="inlineStr">
        <is>
          <t>Ammekyr</t>
        </is>
      </c>
      <c r="B175" s="12" t="inlineStr">
        <is>
          <t>Innkjøp dyr</t>
        </is>
      </c>
      <c r="C175" s="44" t="inlineStr">
        <is>
          <t>4600-4689</t>
        </is>
      </c>
      <c r="D175" s="12" t="inlineStr">
        <is>
          <t>+ saldo</t>
        </is>
      </c>
      <c r="E175" s="21" t="inlineStr">
        <is>
          <t>4600-4689</t>
        </is>
      </c>
    </row>
    <row r="176">
      <c r="A176" s="12" t="inlineStr">
        <is>
          <t>Ammekyr</t>
        </is>
      </c>
      <c r="B176" s="12" t="inlineStr">
        <is>
          <t>Andre variable kostnader</t>
        </is>
      </c>
      <c r="C176" s="44" t="inlineStr">
        <is>
          <t>4130-4139, 4193, 4530-4549, 4560-4569</t>
        </is>
      </c>
      <c r="D176" s="12" t="inlineStr">
        <is>
          <t>+ saldo</t>
        </is>
      </c>
      <c r="E176" s="21" t="inlineStr">
        <is>
          <t>4130-4139, 4193, 4530-4549, 4560-4569 + andre 4xxx</t>
        </is>
      </c>
    </row>
    <row r="177">
      <c r="A177" s="12" t="inlineStr">
        <is>
          <t>Smågris</t>
        </is>
      </c>
      <c r="B177" s="12" t="inlineStr">
        <is>
          <t>Produksjonstilskot fordelt på produksjonen</t>
        </is>
      </c>
      <c r="C177" s="44" t="inlineStr">
        <is>
          <t>3400-3439, 3450-3499</t>
        </is>
      </c>
      <c r="D177" s="12" t="inlineStr">
        <is>
          <t>– saldo</t>
        </is>
      </c>
      <c r="E177" s="21" t="inlineStr">
        <is>
          <t>34xx (ikkje 344x avløysartilskot)</t>
        </is>
      </c>
    </row>
    <row r="178">
      <c r="A178" s="12" t="inlineStr">
        <is>
          <t>Smågris</t>
        </is>
      </c>
      <c r="B178" s="12" t="inlineStr">
        <is>
          <t>Sal av smågris</t>
        </is>
      </c>
      <c r="C178" s="44" t="inlineStr">
        <is>
          <t>3050-3059</t>
        </is>
      </c>
      <c r="D178" s="12" t="inlineStr">
        <is>
          <t>– saldo</t>
        </is>
      </c>
      <c r="E178" s="21" t="inlineStr">
        <is>
          <t>3053 (.534)</t>
        </is>
      </c>
    </row>
    <row r="179">
      <c r="A179" s="12" t="inlineStr">
        <is>
          <t>Smågris</t>
        </is>
      </c>
      <c r="B179" s="12" t="inlineStr">
        <is>
          <t>Sal av slaktegris</t>
        </is>
      </c>
      <c r="C179" s="44" t="inlineStr">
        <is>
          <t>3040-3049, 3162, 3172</t>
        </is>
      </c>
      <c r="D179" s="12" t="inlineStr">
        <is>
          <t>– saldo</t>
        </is>
      </c>
      <c r="E179" s="21" t="inlineStr">
        <is>
          <t>3043 (.535–.538), 3162, 3172</t>
        </is>
      </c>
    </row>
    <row r="180">
      <c r="A180" s="12" t="inlineStr">
        <is>
          <t>Smågris</t>
        </is>
      </c>
      <c r="B180" s="12" t="inlineStr">
        <is>
          <t>Buskap, beholdningsendring (+ = auke)</t>
        </is>
      </c>
      <c r="C180" s="44" t="inlineStr">
        <is>
          <t>4690-4698</t>
        </is>
      </c>
      <c r="D180" s="12" t="inlineStr">
        <is>
          <t>– saldo</t>
        </is>
      </c>
      <c r="E180" s="21" t="inlineStr">
        <is>
          <t>4693 (forteikn snudd)</t>
        </is>
      </c>
    </row>
    <row r="181">
      <c r="A181" s="12" t="inlineStr">
        <is>
          <t>Smågris</t>
        </is>
      </c>
      <c r="B181" s="12" t="inlineStr">
        <is>
          <t>Kraftfôr mm.</t>
        </is>
      </c>
      <c r="C181" s="44" t="inlineStr">
        <is>
          <t>4020-4029, 4040-4049, 4092, 4094</t>
        </is>
      </c>
      <c r="D181" s="12" t="inlineStr">
        <is>
          <t>+ saldo</t>
        </is>
      </c>
      <c r="E181" s="21" t="inlineStr">
        <is>
          <t>4020-4029, 4040-4049, 4092, 4094</t>
        </is>
      </c>
    </row>
    <row r="182">
      <c r="A182" s="12" t="inlineStr">
        <is>
          <t>Smågris</t>
        </is>
      </c>
      <c r="B182" s="12" t="inlineStr">
        <is>
          <t>Veterinær, medisin, inseminering</t>
        </is>
      </c>
      <c r="C182" s="44" t="inlineStr">
        <is>
          <t>4120, 4192, 4520-4529</t>
        </is>
      </c>
      <c r="D182" s="12" t="inlineStr">
        <is>
          <t>+ saldo</t>
        </is>
      </c>
      <c r="E182" s="21" t="inlineStr">
        <is>
          <t>4120, 4192, 4520-4529</t>
        </is>
      </c>
    </row>
    <row r="183">
      <c r="A183" s="12" t="inlineStr">
        <is>
          <t>Smågris</t>
        </is>
      </c>
      <c r="B183" s="12" t="inlineStr">
        <is>
          <t>Innkjøp dyr</t>
        </is>
      </c>
      <c r="C183" s="44" t="inlineStr">
        <is>
          <t>4600-4689</t>
        </is>
      </c>
      <c r="D183" s="12" t="inlineStr">
        <is>
          <t>+ saldo</t>
        </is>
      </c>
      <c r="E183" s="21" t="inlineStr">
        <is>
          <t>4600-4689</t>
        </is>
      </c>
    </row>
    <row r="184">
      <c r="A184" s="12" t="inlineStr">
        <is>
          <t>Smågris</t>
        </is>
      </c>
      <c r="B184" s="12" t="inlineStr">
        <is>
          <t>Andre variable kostnader</t>
        </is>
      </c>
      <c r="C184" s="44" t="inlineStr">
        <is>
          <t>4130-4139, 4193, 4530-4549, 4560-4569</t>
        </is>
      </c>
      <c r="D184" s="12" t="inlineStr">
        <is>
          <t>+ saldo</t>
        </is>
      </c>
      <c r="E184" s="21" t="inlineStr">
        <is>
          <t>4130-4139, 4193, 4530-4549, 4560-4569 + andre 4xxx</t>
        </is>
      </c>
    </row>
    <row r="185">
      <c r="A185" s="12" t="inlineStr">
        <is>
          <t>Purkering</t>
        </is>
      </c>
      <c r="B185" s="12" t="inlineStr">
        <is>
          <t>Produksjonstilskot fordelt på produksjonen</t>
        </is>
      </c>
      <c r="C185" s="44" t="inlineStr">
        <is>
          <t>3400-3439, 3450-3499</t>
        </is>
      </c>
      <c r="D185" s="12" t="inlineStr">
        <is>
          <t>– saldo</t>
        </is>
      </c>
      <c r="E185" s="21" t="inlineStr">
        <is>
          <t>34xx (ikkje 344x avløysartilskot)</t>
        </is>
      </c>
    </row>
    <row r="186">
      <c r="A186" s="12" t="inlineStr">
        <is>
          <t>Purkering</t>
        </is>
      </c>
      <c r="B186" s="12" t="inlineStr">
        <is>
          <t>Sal av smågris</t>
        </is>
      </c>
      <c r="C186" s="44" t="inlineStr">
        <is>
          <t>3050-3059</t>
        </is>
      </c>
      <c r="D186" s="12" t="inlineStr">
        <is>
          <t>– saldo</t>
        </is>
      </c>
      <c r="E186" s="21" t="inlineStr">
        <is>
          <t>3053</t>
        </is>
      </c>
    </row>
    <row r="187">
      <c r="A187" s="12" t="inlineStr">
        <is>
          <t>Purkering</t>
        </is>
      </c>
      <c r="B187" s="12" t="inlineStr">
        <is>
          <t>Sal av slaktegris</t>
        </is>
      </c>
      <c r="C187" s="44" t="inlineStr">
        <is>
          <t>3040-3049, 3162, 3172</t>
        </is>
      </c>
      <c r="D187" s="12" t="inlineStr">
        <is>
          <t>– saldo</t>
        </is>
      </c>
      <c r="E187" s="21" t="inlineStr">
        <is>
          <t>3043, 3162, 3172</t>
        </is>
      </c>
    </row>
    <row r="188">
      <c r="A188" s="12" t="inlineStr">
        <is>
          <t>Purkering</t>
        </is>
      </c>
      <c r="B188" s="12" t="inlineStr">
        <is>
          <t>Buskap, beholdningsendring (+ = auke)</t>
        </is>
      </c>
      <c r="C188" s="44" t="inlineStr">
        <is>
          <t>4690-4698</t>
        </is>
      </c>
      <c r="D188" s="12" t="inlineStr">
        <is>
          <t>– saldo</t>
        </is>
      </c>
      <c r="E188" s="21" t="inlineStr">
        <is>
          <t>4693 (forteikn snudd)</t>
        </is>
      </c>
    </row>
    <row r="189">
      <c r="A189" s="12" t="inlineStr">
        <is>
          <t>Purkering</t>
        </is>
      </c>
      <c r="B189" s="12" t="inlineStr">
        <is>
          <t>Kraftfôr mm.</t>
        </is>
      </c>
      <c r="C189" s="44" t="inlineStr">
        <is>
          <t>4020-4029, 4040-4049, 4092, 4094</t>
        </is>
      </c>
      <c r="D189" s="12" t="inlineStr">
        <is>
          <t>+ saldo</t>
        </is>
      </c>
      <c r="E189" s="21" t="inlineStr">
        <is>
          <t>4020-4029, 4040-4049, 4092, 4094</t>
        </is>
      </c>
    </row>
    <row r="190">
      <c r="A190" s="12" t="inlineStr">
        <is>
          <t>Purkering</t>
        </is>
      </c>
      <c r="B190" s="12" t="inlineStr">
        <is>
          <t>Veterinær, medisin, inseminering</t>
        </is>
      </c>
      <c r="C190" s="44" t="inlineStr">
        <is>
          <t>4120, 4192, 4520-4529</t>
        </is>
      </c>
      <c r="D190" s="12" t="inlineStr">
        <is>
          <t>+ saldo</t>
        </is>
      </c>
      <c r="E190" s="21" t="inlineStr">
        <is>
          <t>4120, 4192, 4520-4529</t>
        </is>
      </c>
    </row>
    <row r="191">
      <c r="A191" s="12" t="inlineStr">
        <is>
          <t>Purkering</t>
        </is>
      </c>
      <c r="B191" s="12" t="inlineStr">
        <is>
          <t>Innkjøp dyr</t>
        </is>
      </c>
      <c r="C191" s="44" t="inlineStr">
        <is>
          <t>4600-4689</t>
        </is>
      </c>
      <c r="D191" s="12" t="inlineStr">
        <is>
          <t>+ saldo</t>
        </is>
      </c>
      <c r="E191" s="21" t="inlineStr">
        <is>
          <t>4600-4689</t>
        </is>
      </c>
    </row>
    <row r="192">
      <c r="A192" s="12" t="inlineStr">
        <is>
          <t>Purkering</t>
        </is>
      </c>
      <c r="B192" s="12" t="inlineStr">
        <is>
          <t>Andre variable kostnader</t>
        </is>
      </c>
      <c r="C192" s="44" t="inlineStr">
        <is>
          <t>4130-4139, 4193, 4530-4549, 4560-4569</t>
        </is>
      </c>
      <c r="D192" s="12" t="inlineStr">
        <is>
          <t>+ saldo</t>
        </is>
      </c>
      <c r="E192" s="21" t="inlineStr">
        <is>
          <t>4130-4139, 4193, 4530-4549, 4560-4569 + andre 4xxx</t>
        </is>
      </c>
    </row>
    <row r="193">
      <c r="A193" s="12" t="inlineStr">
        <is>
          <t>Purkering</t>
        </is>
      </c>
      <c r="B193" s="12" t="inlineStr">
        <is>
          <t>Purkeleige</t>
        </is>
      </c>
      <c r="C193" s="44" t="inlineStr">
        <is>
          <t>6480</t>
        </is>
      </c>
      <c r="D193" s="12" t="inlineStr">
        <is>
          <t>+ saldo</t>
        </is>
      </c>
      <c r="E193" s="21" t="inlineStr">
        <is>
          <t>6480</t>
        </is>
      </c>
    </row>
    <row r="194">
      <c r="A194" s="12" t="inlineStr">
        <is>
          <t>Slaktegris</t>
        </is>
      </c>
      <c r="B194" s="12" t="inlineStr">
        <is>
          <t>Produksjonstilskot fordelt på produksjonen</t>
        </is>
      </c>
      <c r="C194" s="44" t="inlineStr">
        <is>
          <t>3400-3439, 3450-3499</t>
        </is>
      </c>
      <c r="D194" s="12" t="inlineStr">
        <is>
          <t>– saldo</t>
        </is>
      </c>
      <c r="E194" s="21" t="inlineStr">
        <is>
          <t>34xx (ikkje 344x avløysartilskot)</t>
        </is>
      </c>
    </row>
    <row r="195">
      <c r="A195" s="12" t="inlineStr">
        <is>
          <t>Slaktegris</t>
        </is>
      </c>
      <c r="B195" s="12" t="inlineStr">
        <is>
          <t>Slakt</t>
        </is>
      </c>
      <c r="C195" s="44" t="inlineStr">
        <is>
          <t>3040-3059, 3162, 3172</t>
        </is>
      </c>
      <c r="D195" s="12" t="inlineStr">
        <is>
          <t>– saldo</t>
        </is>
      </c>
      <c r="E195" s="21" t="inlineStr">
        <is>
          <t>3043, 3053, 3162, 3172</t>
        </is>
      </c>
    </row>
    <row r="196">
      <c r="A196" s="12" t="inlineStr">
        <is>
          <t>Slaktegris</t>
        </is>
      </c>
      <c r="B196" s="12" t="inlineStr">
        <is>
          <t>Buskap, beholdningsendring (+ = auke)</t>
        </is>
      </c>
      <c r="C196" s="44" t="inlineStr">
        <is>
          <t>4690-4698</t>
        </is>
      </c>
      <c r="D196" s="12" t="inlineStr">
        <is>
          <t>– saldo</t>
        </is>
      </c>
      <c r="E196" s="21" t="inlineStr">
        <is>
          <t>4693 (forteikn snudd)</t>
        </is>
      </c>
    </row>
    <row r="197">
      <c r="A197" s="12" t="inlineStr">
        <is>
          <t>Slaktegris</t>
        </is>
      </c>
      <c r="B197" s="12" t="inlineStr">
        <is>
          <t>Kraftfôr mm.</t>
        </is>
      </c>
      <c r="C197" s="44" t="inlineStr">
        <is>
          <t>4020-4029, 4040-4049, 4092, 4094</t>
        </is>
      </c>
      <c r="D197" s="12" t="inlineStr">
        <is>
          <t>+ saldo</t>
        </is>
      </c>
      <c r="E197" s="21" t="inlineStr">
        <is>
          <t>4020-4029, 4040-4049, 4092, 4094</t>
        </is>
      </c>
    </row>
    <row r="198">
      <c r="A198" s="12" t="inlineStr">
        <is>
          <t>Slaktegris</t>
        </is>
      </c>
      <c r="B198" s="12" t="inlineStr">
        <is>
          <t>Veterinær, medisin, inseminering</t>
        </is>
      </c>
      <c r="C198" s="44" t="inlineStr">
        <is>
          <t>4120, 4192, 4520-4529</t>
        </is>
      </c>
      <c r="D198" s="12" t="inlineStr">
        <is>
          <t>+ saldo</t>
        </is>
      </c>
      <c r="E198" s="21" t="inlineStr">
        <is>
          <t>4120, 4192, 4520-4529</t>
        </is>
      </c>
    </row>
    <row r="199">
      <c r="A199" s="12" t="inlineStr">
        <is>
          <t>Slaktegris</t>
        </is>
      </c>
      <c r="B199" s="12" t="inlineStr">
        <is>
          <t>Innkjøp dyr</t>
        </is>
      </c>
      <c r="C199" s="44" t="inlineStr">
        <is>
          <t>4600-4689</t>
        </is>
      </c>
      <c r="D199" s="12" t="inlineStr">
        <is>
          <t>+ saldo</t>
        </is>
      </c>
      <c r="E199" s="21" t="inlineStr">
        <is>
          <t>4600-4689</t>
        </is>
      </c>
    </row>
    <row r="200">
      <c r="A200" s="12" t="inlineStr">
        <is>
          <t>Slaktegris</t>
        </is>
      </c>
      <c r="B200" s="12" t="inlineStr">
        <is>
          <t>Andre variable kostnader</t>
        </is>
      </c>
      <c r="C200" s="44" t="inlineStr">
        <is>
          <t>4130-4139, 4193, 4530-4549, 4560-4569</t>
        </is>
      </c>
      <c r="D200" s="12" t="inlineStr">
        <is>
          <t>+ saldo</t>
        </is>
      </c>
      <c r="E200" s="21" t="inlineStr">
        <is>
          <t>4130-4139, 4193, 4530-4549, 4560-4569 + andre 4xxx</t>
        </is>
      </c>
    </row>
    <row r="201">
      <c r="A201" s="12" t="inlineStr">
        <is>
          <t>Sau</t>
        </is>
      </c>
      <c r="B201" s="12" t="inlineStr">
        <is>
          <t>Produksjonstilskot fordelt på produksjonen</t>
        </is>
      </c>
      <c r="C201" s="44" t="inlineStr">
        <is>
          <t>3400-3439, 3450-3499</t>
        </is>
      </c>
      <c r="D201" s="12" t="inlineStr">
        <is>
          <t>– saldo</t>
        </is>
      </c>
      <c r="E201" s="21" t="inlineStr">
        <is>
          <t>34xx (ikkje 344x avløysartilskot)</t>
        </is>
      </c>
    </row>
    <row r="202">
      <c r="A202" s="12" t="inlineStr">
        <is>
          <t>Sau</t>
        </is>
      </c>
      <c r="B202" s="12" t="inlineStr">
        <is>
          <t>Ull</t>
        </is>
      </c>
      <c r="C202" s="44" t="inlineStr">
        <is>
          <t>3074</t>
        </is>
      </c>
      <c r="D202" s="12" t="inlineStr">
        <is>
          <t>– saldo</t>
        </is>
      </c>
      <c r="E202" s="21" t="inlineStr">
        <is>
          <t>3074, 3163/3173 (.484)</t>
        </is>
      </c>
    </row>
    <row r="203">
      <c r="A203" s="12" t="inlineStr">
        <is>
          <t>Sau</t>
        </is>
      </c>
      <c r="B203" s="12" t="inlineStr">
        <is>
          <t>Slakt</t>
        </is>
      </c>
      <c r="C203" s="44" t="inlineStr">
        <is>
          <t>3040-3049, 3162, 3172, 3078</t>
        </is>
      </c>
      <c r="D203" s="12" t="inlineStr">
        <is>
          <t>– saldo</t>
        </is>
      </c>
      <c r="E203" s="21" t="inlineStr">
        <is>
          <t>3040-3049, 3162, 3172, 3078</t>
        </is>
      </c>
    </row>
    <row r="204">
      <c r="A204" s="12" t="inlineStr">
        <is>
          <t>Sau</t>
        </is>
      </c>
      <c r="B204" s="12" t="inlineStr">
        <is>
          <t>Livdyrsal</t>
        </is>
      </c>
      <c r="C204" s="44" t="inlineStr">
        <is>
          <t>3050-3059</t>
        </is>
      </c>
      <c r="D204" s="12" t="inlineStr">
        <is>
          <t>– saldo</t>
        </is>
      </c>
      <c r="E204" s="21" t="inlineStr">
        <is>
          <t>3050-3059</t>
        </is>
      </c>
    </row>
    <row r="205">
      <c r="A205" s="12" t="inlineStr">
        <is>
          <t>Sau</t>
        </is>
      </c>
      <c r="B205" s="12" t="inlineStr">
        <is>
          <t>Buskap, beholdningsendring (+ = auke)</t>
        </is>
      </c>
      <c r="C205" s="44" t="inlineStr">
        <is>
          <t>4690-4698</t>
        </is>
      </c>
      <c r="D205" s="12" t="inlineStr">
        <is>
          <t>– saldo</t>
        </is>
      </c>
      <c r="E205" s="21" t="inlineStr">
        <is>
          <t>4690-4698 (forteikn snudd)</t>
        </is>
      </c>
    </row>
    <row r="206">
      <c r="A206" s="12" t="inlineStr">
        <is>
          <t>Sau</t>
        </is>
      </c>
      <c r="B206" s="12" t="inlineStr">
        <is>
          <t>Såfrø / grasfrø</t>
        </is>
      </c>
      <c r="C206" s="44" t="inlineStr">
        <is>
          <t>4001</t>
        </is>
      </c>
      <c r="D206" s="12" t="inlineStr">
        <is>
          <t>+ saldo</t>
        </is>
      </c>
      <c r="E206" s="21" t="inlineStr">
        <is>
          <t>4001</t>
        </is>
      </c>
    </row>
    <row r="207">
      <c r="A207" s="12" t="inlineStr">
        <is>
          <t>Sau</t>
        </is>
      </c>
      <c r="B207" s="12" t="inlineStr">
        <is>
          <t>Plantevernmiddel</t>
        </is>
      </c>
      <c r="C207" s="44" t="inlineStr">
        <is>
          <t>4110, 4191</t>
        </is>
      </c>
      <c r="D207" s="12" t="inlineStr">
        <is>
          <t>+ saldo</t>
        </is>
      </c>
      <c r="E207" s="21" t="inlineStr">
        <is>
          <t>4110, 4191</t>
        </is>
      </c>
    </row>
    <row r="208">
      <c r="A208" s="12" t="inlineStr">
        <is>
          <t>Sau</t>
        </is>
      </c>
      <c r="B208" s="12" t="inlineStr">
        <is>
          <t>Rundballeplast mm.</t>
        </is>
      </c>
      <c r="C208" s="44" t="inlineStr">
        <is>
          <t>4140, 4194</t>
        </is>
      </c>
      <c r="D208" s="12" t="inlineStr">
        <is>
          <t>+ saldo</t>
        </is>
      </c>
      <c r="E208" s="21" t="inlineStr">
        <is>
          <t>4140, 4194</t>
        </is>
      </c>
    </row>
    <row r="209">
      <c r="A209" s="12" t="inlineStr">
        <is>
          <t>Sau</t>
        </is>
      </c>
      <c r="B209" s="12" t="inlineStr">
        <is>
          <t>Handelsgjødsel</t>
        </is>
      </c>
      <c r="C209" s="44" t="inlineStr">
        <is>
          <t>4050, 4095</t>
        </is>
      </c>
      <c r="D209" s="12" t="inlineStr">
        <is>
          <t>+ saldo</t>
        </is>
      </c>
      <c r="E209" s="21" t="inlineStr">
        <is>
          <t>4050, 4095</t>
        </is>
      </c>
    </row>
    <row r="210">
      <c r="A210" s="12" t="inlineStr">
        <is>
          <t>Sau</t>
        </is>
      </c>
      <c r="B210" s="12" t="inlineStr">
        <is>
          <t>Kalk</t>
        </is>
      </c>
      <c r="C210" s="44" t="inlineStr">
        <is>
          <t>4057</t>
        </is>
      </c>
      <c r="D210" s="12" t="inlineStr">
        <is>
          <t>+ saldo</t>
        </is>
      </c>
      <c r="E210" s="21" t="inlineStr">
        <is>
          <t>4057</t>
        </is>
      </c>
    </row>
    <row r="211">
      <c r="A211" s="12" t="inlineStr">
        <is>
          <t>Sau</t>
        </is>
      </c>
      <c r="B211" s="12" t="inlineStr">
        <is>
          <t>Konserveringsmiddel</t>
        </is>
      </c>
      <c r="C211" s="44" t="inlineStr">
        <is>
          <t>4080, 4098</t>
        </is>
      </c>
      <c r="D211" s="12" t="inlineStr">
        <is>
          <t>+ saldo</t>
        </is>
      </c>
      <c r="E211" s="21" t="inlineStr">
        <is>
          <t>4080, 4098</t>
        </is>
      </c>
    </row>
    <row r="212">
      <c r="A212" s="12" t="inlineStr">
        <is>
          <t>Sau</t>
        </is>
      </c>
      <c r="B212" s="12" t="inlineStr">
        <is>
          <t>Endring anna varelager (variable kostn.)</t>
        </is>
      </c>
      <c r="C212" s="44" t="inlineStr">
        <is>
          <t>4090</t>
        </is>
      </c>
      <c r="D212" s="12" t="inlineStr">
        <is>
          <t>+ saldo</t>
        </is>
      </c>
      <c r="E212" s="21" t="inlineStr">
        <is>
          <t>4090</t>
        </is>
      </c>
    </row>
    <row r="213">
      <c r="A213" s="12" t="inlineStr">
        <is>
          <t>Sau</t>
        </is>
      </c>
      <c r="B213" s="12" t="inlineStr">
        <is>
          <t>Endring eigenprodusert grovfôr (+ = nedgang i lager)</t>
        </is>
      </c>
      <c r="C213" s="44" t="inlineStr">
        <is>
          <t>4297</t>
        </is>
      </c>
      <c r="D213" s="12" t="inlineStr">
        <is>
          <t>+ saldo</t>
        </is>
      </c>
      <c r="E213" s="21" t="inlineStr">
        <is>
          <t>4297</t>
        </is>
      </c>
    </row>
    <row r="214">
      <c r="A214" s="12" t="inlineStr">
        <is>
          <t>Sau</t>
        </is>
      </c>
      <c r="B214" s="12" t="inlineStr">
        <is>
          <t>Kjøp grovfôr</t>
        </is>
      </c>
      <c r="C214" s="44" t="inlineStr">
        <is>
          <t>4030</t>
        </is>
      </c>
      <c r="D214" s="12" t="inlineStr">
        <is>
          <t>+ saldo</t>
        </is>
      </c>
      <c r="E214" s="21" t="inlineStr">
        <is>
          <t>4030</t>
        </is>
      </c>
    </row>
    <row r="215">
      <c r="A215" s="12" t="inlineStr">
        <is>
          <t>Sau</t>
        </is>
      </c>
      <c r="B215" s="12" t="inlineStr">
        <is>
          <t>Beiteleige / dyr på beite</t>
        </is>
      </c>
      <c r="C215" s="44" t="inlineStr">
        <is>
          <t>4031</t>
        </is>
      </c>
      <c r="D215" s="12" t="inlineStr">
        <is>
          <t>+ saldo</t>
        </is>
      </c>
      <c r="E215" s="21" t="inlineStr">
        <is>
          <t>4031</t>
        </is>
      </c>
    </row>
    <row r="216">
      <c r="A216" s="12" t="inlineStr">
        <is>
          <t>Sau</t>
        </is>
      </c>
      <c r="B216" s="12" t="inlineStr">
        <is>
          <t>Endring innkjøpt grovfôrlager</t>
        </is>
      </c>
      <c r="C216" s="44" t="inlineStr">
        <is>
          <t>4093</t>
        </is>
      </c>
      <c r="D216" s="12" t="inlineStr">
        <is>
          <t>+ saldo</t>
        </is>
      </c>
      <c r="E216" s="21" t="inlineStr">
        <is>
          <t>4093</t>
        </is>
      </c>
    </row>
    <row r="217">
      <c r="A217" s="12" t="inlineStr">
        <is>
          <t>Sau</t>
        </is>
      </c>
      <c r="B217" s="12" t="inlineStr">
        <is>
          <t>Kraftfôr mm.</t>
        </is>
      </c>
      <c r="C217" s="44" t="inlineStr">
        <is>
          <t>4020-4029, 4040-4049, 4092, 4094</t>
        </is>
      </c>
      <c r="D217" s="12" t="inlineStr">
        <is>
          <t>+ saldo</t>
        </is>
      </c>
      <c r="E217" s="21" t="inlineStr">
        <is>
          <t>4020-4029, 4040-4049, 4092, 4094</t>
        </is>
      </c>
    </row>
    <row r="218">
      <c r="A218" s="12" t="inlineStr">
        <is>
          <t>Sau</t>
        </is>
      </c>
      <c r="B218" s="12" t="inlineStr">
        <is>
          <t>Veterinær, medisin, semin mm.</t>
        </is>
      </c>
      <c r="C218" s="44" t="inlineStr">
        <is>
          <t>4120, 4192, 4520-4529</t>
        </is>
      </c>
      <c r="D218" s="12" t="inlineStr">
        <is>
          <t>+ saldo</t>
        </is>
      </c>
      <c r="E218" s="21" t="inlineStr">
        <is>
          <t>4120, 4192, 4520-4529</t>
        </is>
      </c>
    </row>
    <row r="219">
      <c r="A219" s="12" t="inlineStr">
        <is>
          <t>Sau</t>
        </is>
      </c>
      <c r="B219" s="12" t="inlineStr">
        <is>
          <t>Innkjøp dyr</t>
        </is>
      </c>
      <c r="C219" s="44" t="inlineStr">
        <is>
          <t>4600-4689</t>
        </is>
      </c>
      <c r="D219" s="12" t="inlineStr">
        <is>
          <t>+ saldo</t>
        </is>
      </c>
      <c r="E219" s="21" t="inlineStr">
        <is>
          <t>4600-4689</t>
        </is>
      </c>
    </row>
    <row r="220">
      <c r="A220" s="12" t="inlineStr">
        <is>
          <t>Sau</t>
        </is>
      </c>
      <c r="B220" s="12" t="inlineStr">
        <is>
          <t>Andre variable kostnader</t>
        </is>
      </c>
      <c r="C220" s="44" t="inlineStr">
        <is>
          <t>4130-4139, 4193, 4530-4549, 4560-4569</t>
        </is>
      </c>
      <c r="D220" s="12" t="inlineStr">
        <is>
          <t>+ saldo</t>
        </is>
      </c>
      <c r="E220" s="21" t="inlineStr">
        <is>
          <t>4130-4139, 4193, 4530-4549, 4560-4569 + andre 4xxx</t>
        </is>
      </c>
    </row>
    <row r="221">
      <c r="A221" s="12" t="inlineStr">
        <is>
          <t>Geit</t>
        </is>
      </c>
      <c r="B221" s="12" t="inlineStr">
        <is>
          <t>Produksjonstilskot fordelt på produksjonen</t>
        </is>
      </c>
      <c r="C221" s="44" t="inlineStr">
        <is>
          <t>3400-3439, 3450-3499</t>
        </is>
      </c>
      <c r="D221" s="12" t="inlineStr">
        <is>
          <t>– saldo</t>
        </is>
      </c>
      <c r="E221" s="21" t="inlineStr">
        <is>
          <t>34xx (ikkje 344x avløysartilskot)</t>
        </is>
      </c>
    </row>
    <row r="222">
      <c r="A222" s="12" t="inlineStr">
        <is>
          <t>Geit</t>
        </is>
      </c>
      <c r="B222" s="12" t="inlineStr">
        <is>
          <t>Mjølk</t>
        </is>
      </c>
      <c r="C222" s="44" t="inlineStr">
        <is>
          <t>3075, 3079, 3163, 3173</t>
        </is>
      </c>
      <c r="D222" s="12" t="inlineStr">
        <is>
          <t>– saldo</t>
        </is>
      </c>
      <c r="E222" s="21" t="inlineStr">
        <is>
          <t>3075, 3079, 3163/3173 (.482)</t>
        </is>
      </c>
    </row>
    <row r="223">
      <c r="A223" s="12" t="inlineStr">
        <is>
          <t>Geit</t>
        </is>
      </c>
      <c r="B223" s="12" t="inlineStr">
        <is>
          <t>Slakt</t>
        </is>
      </c>
      <c r="C223" s="44" t="inlineStr">
        <is>
          <t>3040-3049, 3162, 3172, 3078</t>
        </is>
      </c>
      <c r="D223" s="12" t="inlineStr">
        <is>
          <t>– saldo</t>
        </is>
      </c>
      <c r="E223" s="21" t="inlineStr">
        <is>
          <t>3040-3049, 3162, 3172, 3078</t>
        </is>
      </c>
    </row>
    <row r="224">
      <c r="A224" s="12" t="inlineStr">
        <is>
          <t>Geit</t>
        </is>
      </c>
      <c r="B224" s="12" t="inlineStr">
        <is>
          <t>Livdyrsal</t>
        </is>
      </c>
      <c r="C224" s="44" t="inlineStr">
        <is>
          <t>3050-3059</t>
        </is>
      </c>
      <c r="D224" s="12" t="inlineStr">
        <is>
          <t>– saldo</t>
        </is>
      </c>
      <c r="E224" s="21" t="inlineStr">
        <is>
          <t>3050-3059</t>
        </is>
      </c>
    </row>
    <row r="225">
      <c r="A225" s="12" t="inlineStr">
        <is>
          <t>Geit</t>
        </is>
      </c>
      <c r="B225" s="12" t="inlineStr">
        <is>
          <t>Buskap, beholdningsendring (+ = auke)</t>
        </is>
      </c>
      <c r="C225" s="44" t="inlineStr">
        <is>
          <t>4690-4698</t>
        </is>
      </c>
      <c r="D225" s="12" t="inlineStr">
        <is>
          <t>– saldo</t>
        </is>
      </c>
      <c r="E225" s="21" t="inlineStr">
        <is>
          <t>4690-4698 (forteikn snudd)</t>
        </is>
      </c>
    </row>
    <row r="226">
      <c r="A226" s="12" t="inlineStr">
        <is>
          <t>Geit</t>
        </is>
      </c>
      <c r="B226" s="12" t="inlineStr">
        <is>
          <t>Såfrø / grasfrø</t>
        </is>
      </c>
      <c r="C226" s="44" t="inlineStr">
        <is>
          <t>4001</t>
        </is>
      </c>
      <c r="D226" s="12" t="inlineStr">
        <is>
          <t>+ saldo</t>
        </is>
      </c>
      <c r="E226" s="21" t="inlineStr">
        <is>
          <t>4001</t>
        </is>
      </c>
    </row>
    <row r="227">
      <c r="A227" s="12" t="inlineStr">
        <is>
          <t>Geit</t>
        </is>
      </c>
      <c r="B227" s="12" t="inlineStr">
        <is>
          <t>Plantevernmiddel</t>
        </is>
      </c>
      <c r="C227" s="44" t="inlineStr">
        <is>
          <t>4110, 4191</t>
        </is>
      </c>
      <c r="D227" s="12" t="inlineStr">
        <is>
          <t>+ saldo</t>
        </is>
      </c>
      <c r="E227" s="21" t="inlineStr">
        <is>
          <t>4110, 4191</t>
        </is>
      </c>
    </row>
    <row r="228">
      <c r="A228" s="12" t="inlineStr">
        <is>
          <t>Geit</t>
        </is>
      </c>
      <c r="B228" s="12" t="inlineStr">
        <is>
          <t>Rundballeplast mm.</t>
        </is>
      </c>
      <c r="C228" s="44" t="inlineStr">
        <is>
          <t>4140, 4194</t>
        </is>
      </c>
      <c r="D228" s="12" t="inlineStr">
        <is>
          <t>+ saldo</t>
        </is>
      </c>
      <c r="E228" s="21" t="inlineStr">
        <is>
          <t>4140, 4194</t>
        </is>
      </c>
    </row>
    <row r="229">
      <c r="A229" s="12" t="inlineStr">
        <is>
          <t>Geit</t>
        </is>
      </c>
      <c r="B229" s="12" t="inlineStr">
        <is>
          <t>Handelsgjødsel</t>
        </is>
      </c>
      <c r="C229" s="44" t="inlineStr">
        <is>
          <t>4050, 4095</t>
        </is>
      </c>
      <c r="D229" s="12" t="inlineStr">
        <is>
          <t>+ saldo</t>
        </is>
      </c>
      <c r="E229" s="21" t="inlineStr">
        <is>
          <t>4050, 4095</t>
        </is>
      </c>
    </row>
    <row r="230">
      <c r="A230" s="12" t="inlineStr">
        <is>
          <t>Geit</t>
        </is>
      </c>
      <c r="B230" s="12" t="inlineStr">
        <is>
          <t>Kalk</t>
        </is>
      </c>
      <c r="C230" s="44" t="inlineStr">
        <is>
          <t>4057</t>
        </is>
      </c>
      <c r="D230" s="12" t="inlineStr">
        <is>
          <t>+ saldo</t>
        </is>
      </c>
      <c r="E230" s="21" t="inlineStr">
        <is>
          <t>4057</t>
        </is>
      </c>
    </row>
    <row r="231">
      <c r="A231" s="12" t="inlineStr">
        <is>
          <t>Geit</t>
        </is>
      </c>
      <c r="B231" s="12" t="inlineStr">
        <is>
          <t>Konserveringsmiddel</t>
        </is>
      </c>
      <c r="C231" s="44" t="inlineStr">
        <is>
          <t>4080, 4098</t>
        </is>
      </c>
      <c r="D231" s="12" t="inlineStr">
        <is>
          <t>+ saldo</t>
        </is>
      </c>
      <c r="E231" s="21" t="inlineStr">
        <is>
          <t>4080, 4098</t>
        </is>
      </c>
    </row>
    <row r="232">
      <c r="A232" s="12" t="inlineStr">
        <is>
          <t>Geit</t>
        </is>
      </c>
      <c r="B232" s="12" t="inlineStr">
        <is>
          <t>Endring anna varelager (variable kostn.)</t>
        </is>
      </c>
      <c r="C232" s="44" t="inlineStr">
        <is>
          <t>4090</t>
        </is>
      </c>
      <c r="D232" s="12" t="inlineStr">
        <is>
          <t>+ saldo</t>
        </is>
      </c>
      <c r="E232" s="21" t="inlineStr">
        <is>
          <t>4090</t>
        </is>
      </c>
    </row>
    <row r="233">
      <c r="A233" s="12" t="inlineStr">
        <is>
          <t>Geit</t>
        </is>
      </c>
      <c r="B233" s="12" t="inlineStr">
        <is>
          <t>Endring eigenprodusert grovfôr (+ = nedgang i lager)</t>
        </is>
      </c>
      <c r="C233" s="44" t="inlineStr">
        <is>
          <t>4297</t>
        </is>
      </c>
      <c r="D233" s="12" t="inlineStr">
        <is>
          <t>+ saldo</t>
        </is>
      </c>
      <c r="E233" s="21" t="inlineStr">
        <is>
          <t>4297</t>
        </is>
      </c>
    </row>
    <row r="234">
      <c r="A234" s="12" t="inlineStr">
        <is>
          <t>Geit</t>
        </is>
      </c>
      <c r="B234" s="12" t="inlineStr">
        <is>
          <t>Kjøp grovfôr</t>
        </is>
      </c>
      <c r="C234" s="44" t="inlineStr">
        <is>
          <t>4030</t>
        </is>
      </c>
      <c r="D234" s="12" t="inlineStr">
        <is>
          <t>+ saldo</t>
        </is>
      </c>
      <c r="E234" s="21" t="inlineStr">
        <is>
          <t>4030</t>
        </is>
      </c>
    </row>
    <row r="235">
      <c r="A235" s="12" t="inlineStr">
        <is>
          <t>Geit</t>
        </is>
      </c>
      <c r="B235" s="12" t="inlineStr">
        <is>
          <t>Beiteleige / dyr på beite</t>
        </is>
      </c>
      <c r="C235" s="44" t="inlineStr">
        <is>
          <t>4031</t>
        </is>
      </c>
      <c r="D235" s="12" t="inlineStr">
        <is>
          <t>+ saldo</t>
        </is>
      </c>
      <c r="E235" s="21" t="inlineStr">
        <is>
          <t>4031</t>
        </is>
      </c>
    </row>
    <row r="236">
      <c r="A236" s="12" t="inlineStr">
        <is>
          <t>Geit</t>
        </is>
      </c>
      <c r="B236" s="12" t="inlineStr">
        <is>
          <t>Endring innkjøpt grovfôrlager</t>
        </is>
      </c>
      <c r="C236" s="44" t="inlineStr">
        <is>
          <t>4093</t>
        </is>
      </c>
      <c r="D236" s="12" t="inlineStr">
        <is>
          <t>+ saldo</t>
        </is>
      </c>
      <c r="E236" s="21" t="inlineStr">
        <is>
          <t>4093</t>
        </is>
      </c>
    </row>
    <row r="237">
      <c r="A237" s="12" t="inlineStr">
        <is>
          <t>Geit</t>
        </is>
      </c>
      <c r="B237" s="12" t="inlineStr">
        <is>
          <t>Kraftfôr mm.</t>
        </is>
      </c>
      <c r="C237" s="44" t="inlineStr">
        <is>
          <t>4020-4029, 4040-4049, 4092, 4094</t>
        </is>
      </c>
      <c r="D237" s="12" t="inlineStr">
        <is>
          <t>+ saldo</t>
        </is>
      </c>
      <c r="E237" s="21" t="inlineStr">
        <is>
          <t>4020-4029, 4040-4049, 4092, 4094</t>
        </is>
      </c>
    </row>
    <row r="238">
      <c r="A238" s="12" t="inlineStr">
        <is>
          <t>Geit</t>
        </is>
      </c>
      <c r="B238" s="12" t="inlineStr">
        <is>
          <t>Veterinær, medisin, semin mm.</t>
        </is>
      </c>
      <c r="C238" s="44" t="inlineStr">
        <is>
          <t>4120, 4192, 4520-4529</t>
        </is>
      </c>
      <c r="D238" s="12" t="inlineStr">
        <is>
          <t>+ saldo</t>
        </is>
      </c>
      <c r="E238" s="21" t="inlineStr">
        <is>
          <t>4120, 4192, 4520-4529</t>
        </is>
      </c>
    </row>
    <row r="239">
      <c r="A239" s="12" t="inlineStr">
        <is>
          <t>Geit</t>
        </is>
      </c>
      <c r="B239" s="12" t="inlineStr">
        <is>
          <t>Innkjøp dyr</t>
        </is>
      </c>
      <c r="C239" s="44" t="inlineStr">
        <is>
          <t>4600-4689</t>
        </is>
      </c>
      <c r="D239" s="12" t="inlineStr">
        <is>
          <t>+ saldo</t>
        </is>
      </c>
      <c r="E239" s="21" t="inlineStr">
        <is>
          <t>4600-4689</t>
        </is>
      </c>
    </row>
    <row r="240">
      <c r="A240" s="12" t="inlineStr">
        <is>
          <t>Geit</t>
        </is>
      </c>
      <c r="B240" s="12" t="inlineStr">
        <is>
          <t>Andre variable kostnader</t>
        </is>
      </c>
      <c r="C240" s="44" t="inlineStr">
        <is>
          <t>4130-4139, 4193, 4530-4549, 4560-4569</t>
        </is>
      </c>
      <c r="D240" s="12" t="inlineStr">
        <is>
          <t>+ saldo</t>
        </is>
      </c>
      <c r="E240" s="21" t="inlineStr">
        <is>
          <t>4130-4139, 4193, 4530-4549, 4560-4569 + andre 4xxx</t>
        </is>
      </c>
    </row>
    <row r="241">
      <c r="A241" s="12" t="inlineStr">
        <is>
          <t>Egg</t>
        </is>
      </c>
      <c r="B241" s="12" t="inlineStr">
        <is>
          <t>Produksjonstilskot fordelt på produksjonen</t>
        </is>
      </c>
      <c r="C241" s="44" t="inlineStr">
        <is>
          <t>3400-3439, 3450-3499</t>
        </is>
      </c>
      <c r="D241" s="12" t="inlineStr">
        <is>
          <t>– saldo</t>
        </is>
      </c>
      <c r="E241" s="21" t="inlineStr">
        <is>
          <t>34xx (ikkje 344x avløysartilskot)</t>
        </is>
      </c>
    </row>
    <row r="242">
      <c r="A242" s="12" t="inlineStr">
        <is>
          <t>Egg</t>
        </is>
      </c>
      <c r="B242" s="12" t="inlineStr">
        <is>
          <t>Egg</t>
        </is>
      </c>
      <c r="C242" s="44" t="inlineStr">
        <is>
          <t>3076, 3097, 3163, 3173</t>
        </is>
      </c>
      <c r="D242" s="12" t="inlineStr">
        <is>
          <t>– saldo</t>
        </is>
      </c>
      <c r="E242" s="21" t="inlineStr">
        <is>
          <t>3076, 3097, 3163/3173 (.486)</t>
        </is>
      </c>
    </row>
    <row r="243">
      <c r="A243" s="12" t="inlineStr">
        <is>
          <t>Egg</t>
        </is>
      </c>
      <c r="B243" s="12" t="inlineStr">
        <is>
          <t>Buskap, beholdningsendring (+ = auke)</t>
        </is>
      </c>
      <c r="C243" s="44" t="inlineStr">
        <is>
          <t>4690-4698</t>
        </is>
      </c>
      <c r="D243" s="12" t="inlineStr">
        <is>
          <t>– saldo</t>
        </is>
      </c>
      <c r="E243" s="21" t="inlineStr">
        <is>
          <t>4696 (forteikn snudd)</t>
        </is>
      </c>
    </row>
    <row r="244">
      <c r="A244" s="12" t="inlineStr">
        <is>
          <t>Egg</t>
        </is>
      </c>
      <c r="B244" s="12" t="inlineStr">
        <is>
          <t>Kraftfôr mm.</t>
        </is>
      </c>
      <c r="C244" s="44" t="inlineStr">
        <is>
          <t>4020-4029, 4040-4049, 4092, 4094</t>
        </is>
      </c>
      <c r="D244" s="12" t="inlineStr">
        <is>
          <t>+ saldo</t>
        </is>
      </c>
      <c r="E244" s="21" t="inlineStr">
        <is>
          <t>4020-4029, 4040-4049, 4092, 4094</t>
        </is>
      </c>
    </row>
    <row r="245">
      <c r="A245" s="12" t="inlineStr">
        <is>
          <t>Egg</t>
        </is>
      </c>
      <c r="B245" s="12" t="inlineStr">
        <is>
          <t>Veterinær, medisin, inseminering</t>
        </is>
      </c>
      <c r="C245" s="44" t="inlineStr">
        <is>
          <t>4120, 4192, 4520-4529</t>
        </is>
      </c>
      <c r="D245" s="12" t="inlineStr">
        <is>
          <t>+ saldo</t>
        </is>
      </c>
      <c r="E245" s="21" t="inlineStr">
        <is>
          <t>4120, 4192, 4520-4529</t>
        </is>
      </c>
    </row>
    <row r="246">
      <c r="A246" s="12" t="inlineStr">
        <is>
          <t>Egg</t>
        </is>
      </c>
      <c r="B246" s="12" t="inlineStr">
        <is>
          <t>Innkjøp dyr</t>
        </is>
      </c>
      <c r="C246" s="44" t="inlineStr">
        <is>
          <t>4600-4689</t>
        </is>
      </c>
      <c r="D246" s="12" t="inlineStr">
        <is>
          <t>+ saldo</t>
        </is>
      </c>
      <c r="E246" s="21" t="inlineStr">
        <is>
          <t>4600-4689</t>
        </is>
      </c>
    </row>
    <row r="247">
      <c r="A247" s="12" t="inlineStr">
        <is>
          <t>Egg</t>
        </is>
      </c>
      <c r="B247" s="12" t="inlineStr">
        <is>
          <t>Andre variable kostnader</t>
        </is>
      </c>
      <c r="C247" s="44" t="inlineStr">
        <is>
          <t>4130-4139, 4193, 4530-4549, 4560-4569</t>
        </is>
      </c>
      <c r="D247" s="12" t="inlineStr">
        <is>
          <t>+ saldo</t>
        </is>
      </c>
      <c r="E247" s="21" t="inlineStr">
        <is>
          <t>4130-4139, 4193, 4530-4549, 4560-4569 + andre 4xxx</t>
        </is>
      </c>
    </row>
    <row r="248">
      <c r="A248" s="12" t="inlineStr">
        <is>
          <t>Slaktekylling</t>
        </is>
      </c>
      <c r="B248" s="12" t="inlineStr">
        <is>
          <t>Produksjonstilskot fordelt på produksjonen</t>
        </is>
      </c>
      <c r="C248" s="44" t="inlineStr">
        <is>
          <t>3400-3439, 3450-3499</t>
        </is>
      </c>
      <c r="D248" s="12" t="inlineStr">
        <is>
          <t>– saldo</t>
        </is>
      </c>
      <c r="E248" s="21" t="inlineStr">
        <is>
          <t>34xx (ikkje 344x avløysartilskot)</t>
        </is>
      </c>
    </row>
    <row r="249">
      <c r="A249" s="12" t="inlineStr">
        <is>
          <t>Slaktekylling</t>
        </is>
      </c>
      <c r="B249" s="12" t="inlineStr">
        <is>
          <t>Slakt</t>
        </is>
      </c>
      <c r="C249" s="44" t="inlineStr">
        <is>
          <t>3040-3049</t>
        </is>
      </c>
      <c r="D249" s="12" t="inlineStr">
        <is>
          <t>– saldo</t>
        </is>
      </c>
      <c r="E249" s="21" t="inlineStr">
        <is>
          <t>3046 (.564/.565)</t>
        </is>
      </c>
    </row>
    <row r="250">
      <c r="A250" s="12" t="inlineStr">
        <is>
          <t>Slaktekylling</t>
        </is>
      </c>
      <c r="B250" s="12" t="inlineStr">
        <is>
          <t>Buskap, beholdningsendring (+ = auke)</t>
        </is>
      </c>
      <c r="C250" s="44" t="inlineStr">
        <is>
          <t>4690-4698</t>
        </is>
      </c>
      <c r="D250" s="12" t="inlineStr">
        <is>
          <t>– saldo</t>
        </is>
      </c>
      <c r="E250" s="21" t="inlineStr">
        <is>
          <t>4696 (forteikn snudd)</t>
        </is>
      </c>
    </row>
    <row r="251">
      <c r="A251" s="12" t="inlineStr">
        <is>
          <t>Slaktekylling</t>
        </is>
      </c>
      <c r="B251" s="12" t="inlineStr">
        <is>
          <t>Kraftfôr mm.</t>
        </is>
      </c>
      <c r="C251" s="44" t="inlineStr">
        <is>
          <t>4020-4029, 4040-4049, 4092, 4094</t>
        </is>
      </c>
      <c r="D251" s="12" t="inlineStr">
        <is>
          <t>+ saldo</t>
        </is>
      </c>
      <c r="E251" s="21" t="inlineStr">
        <is>
          <t>4020-4029, 4040-4049, 4092, 4094</t>
        </is>
      </c>
    </row>
    <row r="252">
      <c r="A252" s="12" t="inlineStr">
        <is>
          <t>Slaktekylling</t>
        </is>
      </c>
      <c r="B252" s="12" t="inlineStr">
        <is>
          <t>Veterinær, medisin, inseminering</t>
        </is>
      </c>
      <c r="C252" s="44" t="inlineStr">
        <is>
          <t>4120, 4192, 4520-4529</t>
        </is>
      </c>
      <c r="D252" s="12" t="inlineStr">
        <is>
          <t>+ saldo</t>
        </is>
      </c>
      <c r="E252" s="21" t="inlineStr">
        <is>
          <t>4120, 4192, 4520-4529</t>
        </is>
      </c>
    </row>
    <row r="253">
      <c r="A253" s="12" t="inlineStr">
        <is>
          <t>Slaktekylling</t>
        </is>
      </c>
      <c r="B253" s="12" t="inlineStr">
        <is>
          <t>Innkjøp dyr</t>
        </is>
      </c>
      <c r="C253" s="44" t="inlineStr">
        <is>
          <t>4600-4689</t>
        </is>
      </c>
      <c r="D253" s="12" t="inlineStr">
        <is>
          <t>+ saldo</t>
        </is>
      </c>
      <c r="E253" s="21" t="inlineStr">
        <is>
          <t>4600-4689</t>
        </is>
      </c>
    </row>
    <row r="254">
      <c r="A254" s="12" t="inlineStr">
        <is>
          <t>Slaktekylling</t>
        </is>
      </c>
      <c r="B254" s="12" t="inlineStr">
        <is>
          <t>Andre variable kostnader</t>
        </is>
      </c>
      <c r="C254" s="44" t="inlineStr">
        <is>
          <t>4130-4139, 4193, 4530-4549, 4560-4569</t>
        </is>
      </c>
      <c r="D254" s="12" t="inlineStr">
        <is>
          <t>+ saldo</t>
        </is>
      </c>
      <c r="E254" s="21" t="inlineStr">
        <is>
          <t>4130-4139, 4193, 4530-4549, 4560-4569 + andre 4xxx</t>
        </is>
      </c>
    </row>
    <row r="256">
      <c r="A256" s="4" t="inlineStr">
        <is>
          <t>Kva produksjon ein konto høyrer til (første regel som passar vinn; første aktive produksjon i lista blir brukt)</t>
        </is>
      </c>
    </row>
    <row r="257">
      <c r="A257" s="43" t="inlineStr">
        <is>
          <t>Type</t>
        </is>
      </c>
      <c r="B257" s="43" t="inlineStr">
        <is>
          <t>Kontoar / produktkode</t>
        </is>
      </c>
      <c r="C257" s="43" t="inlineStr">
        <is>
          <t>Produksjon(ar)</t>
        </is>
      </c>
    </row>
    <row r="258">
      <c r="A258" s="6" t="inlineStr">
        <is>
          <t>Produktkode</t>
        </is>
      </c>
      <c r="B258" s="45" t="inlineStr">
        <is>
          <t>xxxx.20.511-512</t>
        </is>
      </c>
      <c r="C258" s="6" t="inlineStr">
        <is>
          <t>Mjølk</t>
        </is>
      </c>
    </row>
    <row r="259">
      <c r="A259" s="6" t="inlineStr">
        <is>
          <t>Produktkode</t>
        </is>
      </c>
      <c r="B259" s="45" t="inlineStr">
        <is>
          <t>xxxx.20.514-515</t>
        </is>
      </c>
      <c r="C259" s="6" t="inlineStr">
        <is>
          <t>Mjølk / Ammekyr / Oksar</t>
        </is>
      </c>
    </row>
    <row r="260">
      <c r="A260" s="6" t="inlineStr">
        <is>
          <t>Produktkode</t>
        </is>
      </c>
      <c r="B260" s="45" t="inlineStr">
        <is>
          <t>xxxx.20.516-518</t>
        </is>
      </c>
      <c r="C260" s="6" t="inlineStr">
        <is>
          <t>Oksar / Mellomkalv / Mjølk / Ammekyr</t>
        </is>
      </c>
    </row>
    <row r="261">
      <c r="A261" s="6" t="inlineStr">
        <is>
          <t>Produktkode</t>
        </is>
      </c>
      <c r="B261" s="45" t="inlineStr">
        <is>
          <t>xxxx.20.521-526</t>
        </is>
      </c>
      <c r="C261" s="6" t="inlineStr">
        <is>
          <t>Ammekyr</t>
        </is>
      </c>
    </row>
    <row r="262">
      <c r="A262" s="6" t="inlineStr">
        <is>
          <t>Produktkode</t>
        </is>
      </c>
      <c r="B262" s="45" t="inlineStr">
        <is>
          <t>xxxx.20.531-534</t>
        </is>
      </c>
      <c r="C262" s="6" t="inlineStr">
        <is>
          <t>Smågris / Purkering</t>
        </is>
      </c>
    </row>
    <row r="263">
      <c r="A263" s="6" t="inlineStr">
        <is>
          <t>Produktkode</t>
        </is>
      </c>
      <c r="B263" s="45" t="inlineStr">
        <is>
          <t>xxxx.20.535-538</t>
        </is>
      </c>
      <c r="C263" s="6" t="inlineStr">
        <is>
          <t>Slaktegris / Smågris</t>
        </is>
      </c>
    </row>
    <row r="264">
      <c r="A264" s="6" t="inlineStr">
        <is>
          <t>Produktkode</t>
        </is>
      </c>
      <c r="B264" s="45" t="inlineStr">
        <is>
          <t>xxxx.20.541-543</t>
        </is>
      </c>
      <c r="C264" s="6" t="inlineStr">
        <is>
          <t>Sau</t>
        </is>
      </c>
    </row>
    <row r="265">
      <c r="A265" s="6" t="inlineStr">
        <is>
          <t>Produktkode</t>
        </is>
      </c>
      <c r="B265" s="45" t="inlineStr">
        <is>
          <t>xxxx.20.551-553</t>
        </is>
      </c>
      <c r="C265" s="6" t="inlineStr">
        <is>
          <t>Geit</t>
        </is>
      </c>
    </row>
    <row r="266">
      <c r="A266" s="6" t="inlineStr">
        <is>
          <t>Produktkode</t>
        </is>
      </c>
      <c r="B266" s="45" t="inlineStr">
        <is>
          <t>xxxx.20.561-562</t>
        </is>
      </c>
      <c r="C266" s="6" t="inlineStr">
        <is>
          <t>Egg</t>
        </is>
      </c>
    </row>
    <row r="267">
      <c r="A267" s="6" t="inlineStr">
        <is>
          <t>Produktkode</t>
        </is>
      </c>
      <c r="B267" s="45" t="inlineStr">
        <is>
          <t>xxxx.20.564-568</t>
        </is>
      </c>
      <c r="C267" s="6" t="inlineStr">
        <is>
          <t>Slaktekylling</t>
        </is>
      </c>
    </row>
    <row r="268">
      <c r="A268" s="6" t="inlineStr">
        <is>
          <t>Produktkode</t>
        </is>
      </c>
      <c r="B268" s="45" t="inlineStr">
        <is>
          <t>xxxx.20.411-414</t>
        </is>
      </c>
      <c r="C268" s="6" t="inlineStr">
        <is>
          <t>Korn</t>
        </is>
      </c>
    </row>
    <row r="269">
      <c r="A269" s="6" t="inlineStr">
        <is>
          <t>Produktkode</t>
        </is>
      </c>
      <c r="B269" s="45" t="inlineStr">
        <is>
          <t>xxxx.20.421-423</t>
        </is>
      </c>
      <c r="C269" s="6" t="inlineStr">
        <is>
          <t>Korn</t>
        </is>
      </c>
    </row>
    <row r="270">
      <c r="A270" s="6" t="inlineStr">
        <is>
          <t>Produktkode</t>
        </is>
      </c>
      <c r="B270" s="45" t="inlineStr">
        <is>
          <t>xxxx.20.431</t>
        </is>
      </c>
      <c r="C270" s="6" t="inlineStr">
        <is>
          <t>Potet</t>
        </is>
      </c>
    </row>
    <row r="271">
      <c r="A271" s="6" t="inlineStr">
        <is>
          <t>Produktkode</t>
        </is>
      </c>
      <c r="B271" s="45" t="inlineStr">
        <is>
          <t>xxxx.20.441</t>
        </is>
      </c>
      <c r="C271" s="6" t="inlineStr">
        <is>
          <t>Frilandsgrønsak</t>
        </is>
      </c>
    </row>
    <row r="272">
      <c r="A272" s="6" t="inlineStr">
        <is>
          <t>Produktkode</t>
        </is>
      </c>
      <c r="B272" s="45" t="inlineStr">
        <is>
          <t>xxxx.20.471</t>
        </is>
      </c>
      <c r="C272" s="6" t="inlineStr">
        <is>
          <t>Høy / Fellespott hausta grovfôr (nøkkel: vinterfôr)</t>
        </is>
      </c>
    </row>
    <row r="273">
      <c r="A273" s="6" t="inlineStr">
        <is>
          <t>Produktkode</t>
        </is>
      </c>
      <c r="B273" s="45" t="inlineStr">
        <is>
          <t>xxxx.20.472</t>
        </is>
      </c>
      <c r="C273" s="6" t="inlineStr">
        <is>
          <t>Silofor / Fellespott hausta grovfôr (nøkkel: vinterfôr)</t>
        </is>
      </c>
    </row>
    <row r="274">
      <c r="A274" s="6" t="inlineStr">
        <is>
          <t>Produktkode</t>
        </is>
      </c>
      <c r="B274" s="45" t="inlineStr">
        <is>
          <t>xxxx.20.473</t>
        </is>
      </c>
      <c r="C274" s="6" t="inlineStr">
        <is>
          <t>Korn</t>
        </is>
      </c>
    </row>
    <row r="275">
      <c r="A275" s="6" t="inlineStr">
        <is>
          <t>Produktkode</t>
        </is>
      </c>
      <c r="B275" s="45" t="inlineStr">
        <is>
          <t>xxxx.20.482</t>
        </is>
      </c>
      <c r="C275" s="6" t="inlineStr">
        <is>
          <t>Mjølk / Geit</t>
        </is>
      </c>
    </row>
    <row r="276">
      <c r="A276" s="6" t="inlineStr">
        <is>
          <t>Produktkode</t>
        </is>
      </c>
      <c r="B276" s="45" t="inlineStr">
        <is>
          <t>xxxx.20.484</t>
        </is>
      </c>
      <c r="C276" s="6" t="inlineStr">
        <is>
          <t>Sau</t>
        </is>
      </c>
    </row>
    <row r="277">
      <c r="A277" s="6" t="inlineStr">
        <is>
          <t>Produktkode</t>
        </is>
      </c>
      <c r="B277" s="45" t="inlineStr">
        <is>
          <t>xxxx.20.486</t>
        </is>
      </c>
      <c r="C277" s="6" t="inlineStr">
        <is>
          <t>Egg</t>
        </is>
      </c>
    </row>
    <row r="278" ht="15" customHeight="1">
      <c r="A278" s="6" t="inlineStr">
        <is>
          <t>Konto</t>
        </is>
      </c>
      <c r="B278" s="46" t="inlineStr">
        <is>
          <t>3000-3008, 3096, 3410, 4000, 4291-4292</t>
        </is>
      </c>
      <c r="C278" s="6" t="inlineStr">
        <is>
          <t>Korn</t>
        </is>
      </c>
    </row>
    <row r="279" ht="15" customHeight="1">
      <c r="A279" s="6" t="inlineStr">
        <is>
          <t>Konto</t>
        </is>
      </c>
      <c r="B279" s="46" t="inlineStr">
        <is>
          <t>3010-3011, 3421, 4010, 4091, 4293</t>
        </is>
      </c>
      <c r="C279" s="6" t="inlineStr">
        <is>
          <t>Potet</t>
        </is>
      </c>
    </row>
    <row r="280" ht="15" customHeight="1">
      <c r="A280" s="6" t="inlineStr">
        <is>
          <t>Konto</t>
        </is>
      </c>
      <c r="B280" s="46" t="inlineStr">
        <is>
          <t>3013, 3015, 3020, 3039, 3420, 4012, 4294</t>
        </is>
      </c>
      <c r="C280" s="6" t="inlineStr">
        <is>
          <t>Frilandsgrønsak / Gulrot / Kålrot</t>
        </is>
      </c>
    </row>
    <row r="281" ht="15" customHeight="1">
      <c r="A281" s="6" t="inlineStr">
        <is>
          <t>Konto</t>
        </is>
      </c>
      <c r="B281" s="46" t="inlineStr">
        <is>
          <t>3014</t>
        </is>
      </c>
      <c r="C281" s="6" t="inlineStr">
        <is>
          <t>Gulrot / Frilandsgrønsak</t>
        </is>
      </c>
    </row>
    <row r="282" ht="15" customHeight="1">
      <c r="A282" s="6" t="inlineStr">
        <is>
          <t>Konto</t>
        </is>
      </c>
      <c r="B282" s="46" t="inlineStr">
        <is>
          <t>3018, 4018</t>
        </is>
      </c>
      <c r="C282" s="6" t="inlineStr">
        <is>
          <t>Tomat</t>
        </is>
      </c>
    </row>
    <row r="283" ht="15" customHeight="1">
      <c r="A283" s="6" t="inlineStr">
        <is>
          <t>Konto</t>
        </is>
      </c>
      <c r="B283" s="46" t="inlineStr">
        <is>
          <t>3019, 4019</t>
        </is>
      </c>
      <c r="C283" s="6" t="inlineStr">
        <is>
          <t>Agurk</t>
        </is>
      </c>
    </row>
    <row r="284" ht="15" customHeight="1">
      <c r="A284" s="6" t="inlineStr">
        <is>
          <t>Konto</t>
        </is>
      </c>
      <c r="B284" s="46" t="inlineStr">
        <is>
          <t>3094</t>
        </is>
      </c>
      <c r="C284" s="6" t="inlineStr">
        <is>
          <t>Høy</t>
        </is>
      </c>
    </row>
    <row r="285" ht="15" customHeight="1">
      <c r="A285" s="6" t="inlineStr">
        <is>
          <t>Konto</t>
        </is>
      </c>
      <c r="B285" s="46" t="inlineStr">
        <is>
          <t>3095</t>
        </is>
      </c>
      <c r="C285" s="6" t="inlineStr">
        <is>
          <t>Silofor</t>
        </is>
      </c>
    </row>
    <row r="286" ht="15" customHeight="1">
      <c r="A286" s="6" t="inlineStr">
        <is>
          <t>Konto</t>
        </is>
      </c>
      <c r="B286" s="46" t="inlineStr">
        <is>
          <t>3071-3073, 3450, 3455</t>
        </is>
      </c>
      <c r="C286" s="6" t="inlineStr">
        <is>
          <t>Mjølk</t>
        </is>
      </c>
    </row>
    <row r="287" ht="15" customHeight="1">
      <c r="A287" s="6" t="inlineStr">
        <is>
          <t>Konto</t>
        </is>
      </c>
      <c r="B287" s="46" t="inlineStr">
        <is>
          <t>3451</t>
        </is>
      </c>
      <c r="C287" s="6" t="inlineStr">
        <is>
          <t>Oksar / Mellomkalv / Mjølk / Ammekyr</t>
        </is>
      </c>
    </row>
    <row r="288" ht="26" customHeight="1">
      <c r="A288" s="6" t="inlineStr">
        <is>
          <t>Konto</t>
        </is>
      </c>
      <c r="B288" s="46" t="inlineStr">
        <is>
          <t>3041, 3051, 4021, 4041, 4521-4522, 4531, 4534, 4610, 4691, 4131</t>
        </is>
      </c>
      <c r="C288" s="6" t="inlineStr">
        <is>
          <t>Mjølk / Oksar / Mellomkalv / Ammekyr</t>
        </is>
      </c>
    </row>
    <row r="289" ht="15" customHeight="1">
      <c r="A289" s="6" t="inlineStr">
        <is>
          <t>Konto</t>
        </is>
      </c>
      <c r="B289" s="46" t="inlineStr">
        <is>
          <t>3042, 3052, 3452, 4620, 4692</t>
        </is>
      </c>
      <c r="C289" s="6" t="inlineStr">
        <is>
          <t>Ammekyr</t>
        </is>
      </c>
    </row>
    <row r="290" ht="26" customHeight="1">
      <c r="A290" s="6" t="inlineStr">
        <is>
          <t>Konto</t>
        </is>
      </c>
      <c r="B290" s="46" t="inlineStr">
        <is>
          <t>3043, 3053, 3453, 4023, 4043, 4523, 4535, 4630, 4693, 4133</t>
        </is>
      </c>
      <c r="C290" s="6" t="inlineStr">
        <is>
          <t>Smågris / Slaktegris / Purkering</t>
        </is>
      </c>
    </row>
    <row r="291" ht="26" customHeight="1">
      <c r="A291" s="6" t="inlineStr">
        <is>
          <t>Konto</t>
        </is>
      </c>
      <c r="B291" s="46" t="inlineStr">
        <is>
          <t>3044, 3054, 3074, 3454, 4024, 4524, 4533, 4134, 4640, 4694</t>
        </is>
      </c>
      <c r="C291" s="6" t="inlineStr">
        <is>
          <t>Sau</t>
        </is>
      </c>
    </row>
    <row r="292" ht="15" customHeight="1">
      <c r="A292" s="6" t="inlineStr">
        <is>
          <t>Konto</t>
        </is>
      </c>
      <c r="B292" s="46" t="inlineStr">
        <is>
          <t>3045, 3055, 3075, 3079, 4130, 4650, 4695</t>
        </is>
      </c>
      <c r="C292" s="6" t="inlineStr">
        <is>
          <t>Geit</t>
        </is>
      </c>
    </row>
    <row r="293" ht="26" customHeight="1">
      <c r="A293" s="6" t="inlineStr">
        <is>
          <t>Konto</t>
        </is>
      </c>
      <c r="B293" s="46" t="inlineStr">
        <is>
          <t>3076, 3097, 3456, 4026, 4046, 4526, 4536, 4136</t>
        </is>
      </c>
      <c r="C293" s="6" t="inlineStr">
        <is>
          <t>Egg / Slaktekylling</t>
        </is>
      </c>
    </row>
    <row r="294" ht="15" customHeight="1">
      <c r="A294" s="6" t="inlineStr">
        <is>
          <t>Konto</t>
        </is>
      </c>
      <c r="B294" s="46" t="inlineStr">
        <is>
          <t>3046, 3056, 4660, 4696</t>
        </is>
      </c>
      <c r="C294" s="6" t="inlineStr">
        <is>
          <t>Egg / Slaktekylling</t>
        </is>
      </c>
    </row>
    <row r="295" ht="26" customHeight="1">
      <c r="A295" s="6" t="inlineStr">
        <is>
          <t>Konto</t>
        </is>
      </c>
      <c r="B295" s="46" t="inlineStr">
        <is>
          <t>3413, 3430, 3460, 4001, 4050, 4057, 4095, 4110, 4191, 4560-4569</t>
        </is>
      </c>
      <c r="C295" s="6" t="inlineStr">
        <is>
          <t>Fellespott areal (nøkkel: areal / arealbehov)</t>
        </is>
      </c>
    </row>
    <row r="296" ht="26" customHeight="1">
      <c r="A296" s="6" t="inlineStr">
        <is>
          <t>Konto</t>
        </is>
      </c>
      <c r="B296" s="46" t="inlineStr">
        <is>
          <t>4030-4031, 4080, 4090, 4093, 4098, 4140, 4194, 4297</t>
        </is>
      </c>
      <c r="C296" s="6" t="inlineStr">
        <is>
          <t>Fellespott hausta grovfôr (nøkkel: vinterfôr)</t>
        </is>
      </c>
    </row>
    <row r="297" ht="26" customHeight="1">
      <c r="A297" s="6" t="inlineStr">
        <is>
          <t>Konto</t>
        </is>
      </c>
      <c r="B297" s="46" t="inlineStr">
        <is>
          <t>4020, 4040, 4094, 4120, 4192-4193, 4520, 4530, 4532, 4539</t>
        </is>
      </c>
      <c r="C297" s="6" t="inlineStr">
        <is>
          <t>Fellespott husdyr (nøkkel: direkte førte husdyrkostnader)</t>
        </is>
      </c>
    </row>
    <row r="298" ht="15" customHeight="1">
      <c r="A298" s="6" t="inlineStr">
        <is>
          <t>Konto</t>
        </is>
      </c>
      <c r="B298" s="46" t="inlineStr">
        <is>
          <t>3457, 3470, 3490, 3499</t>
        </is>
      </c>
      <c r="C298" s="6" t="inlineStr">
        <is>
          <t>Fellespott tilskot (nøkkel: direkte førte tilskot)</t>
        </is>
      </c>
    </row>
    <row r="299" ht="15" customHeight="1">
      <c r="A299" s="6" t="inlineStr">
        <is>
          <t>Konto</t>
        </is>
      </c>
      <c r="B299" s="46" t="inlineStr">
        <is>
          <t>4550-4559</t>
        </is>
      </c>
      <c r="C299" s="6" t="inlineStr">
        <is>
          <t>Faste kostnader</t>
        </is>
      </c>
    </row>
    <row r="300" ht="15" customHeight="1">
      <c r="A300" s="6" t="inlineStr">
        <is>
          <t>Konto</t>
        </is>
      </c>
      <c r="B300" s="46" t="inlineStr">
        <is>
          <t>3440-3442</t>
        </is>
      </c>
      <c r="C300" s="6" t="inlineStr">
        <is>
          <t>Faste kostnader</t>
        </is>
      </c>
    </row>
    <row r="301" ht="15" customHeight="1">
      <c r="A301" s="6" t="inlineStr">
        <is>
          <t>Konto</t>
        </is>
      </c>
      <c r="B301" s="46" t="inlineStr">
        <is>
          <t>3400-3439, 3443-3499</t>
        </is>
      </c>
      <c r="C301" s="6" t="inlineStr">
        <is>
          <t>Fellespott tilskot (nøkkel: direkte førte tilskot)</t>
        </is>
      </c>
    </row>
    <row r="302" ht="15" customHeight="1">
      <c r="A302" s="6" t="inlineStr">
        <is>
          <t>Konto</t>
        </is>
      </c>
      <c r="B302" s="46" t="inlineStr">
        <is>
          <t>6030, 6541, 6563, 6640</t>
        </is>
      </c>
      <c r="C302" s="6" t="inlineStr">
        <is>
          <t>Innandørsmekanisering (nøkkel)</t>
        </is>
      </c>
    </row>
    <row r="303" ht="15" customHeight="1">
      <c r="A303" s="6" t="inlineStr">
        <is>
          <t>Konto</t>
        </is>
      </c>
      <c r="B303" s="46" t="inlineStr">
        <is>
          <t>6480</t>
        </is>
      </c>
      <c r="C303" s="6" t="inlineStr">
        <is>
          <t>Purkering / Faste kostnader</t>
        </is>
      </c>
    </row>
    <row r="304" ht="15" customHeight="1">
      <c r="A304" s="6" t="inlineStr">
        <is>
          <t>Konto</t>
        </is>
      </c>
      <c r="B304" s="46" t="inlineStr">
        <is>
          <t>4570-4580, 5000-7999</t>
        </is>
      </c>
      <c r="C304" s="6" t="inlineStr">
        <is>
          <t>Faste kostnader</t>
        </is>
      </c>
    </row>
    <row r="305" ht="15" customHeight="1">
      <c r="A305" s="6" t="inlineStr">
        <is>
          <t>Konto</t>
        </is>
      </c>
      <c r="B305" s="46" t="inlineStr">
        <is>
          <t>3090-3093, 3100-3399, 3500-3999</t>
        </is>
      </c>
      <c r="C305" s="6" t="inlineStr">
        <is>
          <t>Totaløkonomi (ikkje fordelt)</t>
        </is>
      </c>
    </row>
    <row r="306" ht="15" customHeight="1">
      <c r="A306" s="6" t="inlineStr">
        <is>
          <t>Konto</t>
        </is>
      </c>
      <c r="B306" s="46" t="inlineStr">
        <is>
          <t>8000-8179</t>
        </is>
      </c>
      <c r="C306" s="6" t="inlineStr">
        <is>
          <t>Totaløkonomi (ikkje fordelt)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2026-10-22T09:27:51Z</dcterms:created>
  <dcterms:modified xmlns:dcterms="http://purl.org/dc/terms/" xmlns:xsi="http://www.w3.org/2001/XMLSchema-instance" xsi:type="dcterms:W3CDTF">2026-10-22T09:27:52Z</dcterms:modified>
</cp:coreProperties>
</file>