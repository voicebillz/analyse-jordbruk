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'Mjølk'!C50</f>
        <v/>
      </c>
      <c r="F16" s="13">
        <f>'Mjølk'!C55</f>
        <v/>
      </c>
      <c r="G16" s="13">
        <f>'Mjølk'!C56</f>
        <v/>
      </c>
      <c r="H16" s="13">
        <f>'Mjølk'!C21</f>
        <v/>
      </c>
      <c r="I16" s="13">
        <f>'Mjølk'!C57</f>
        <v/>
      </c>
      <c r="J16" s="14">
        <f>IF('Mjølk'!C7=0,0,'Mjølk'!C56/'Mjølk'!C7)</f>
        <v/>
      </c>
      <c r="K16" s="14">
        <f>IF('Mjølk'!C7=0,0,'Mjølk'!C57/'Mjølk'!C7)</f>
        <v/>
      </c>
      <c r="L16" s="13">
        <f>'Mjølk'!C58</f>
        <v/>
      </c>
    </row>
    <row r="17">
      <c r="A17" s="10" t="inlineStr">
        <is>
          <t>Oksar</t>
        </is>
      </c>
      <c r="B17" s="11" t="inlineStr">
        <is>
          <t>N</t>
        </is>
      </c>
      <c r="C17" s="12" t="inlineStr">
        <is>
          <t>oksar</t>
        </is>
      </c>
      <c r="D17" s="13">
        <f>Oksar!C7</f>
        <v/>
      </c>
      <c r="E17" s="13">
        <f>Oksar!C47</f>
        <v/>
      </c>
      <c r="F17" s="13">
        <f>Oksar!C52</f>
        <v/>
      </c>
      <c r="G17" s="13">
        <f>Oksar!C53</f>
        <v/>
      </c>
      <c r="H17" s="13">
        <f>Oksar!C20</f>
        <v/>
      </c>
      <c r="I17" s="13">
        <f>Oksar!C54</f>
        <v/>
      </c>
      <c r="J17" s="14">
        <f>IF(Oksar!C7=0,0,Oksar!C53/Oksar!C7)</f>
        <v/>
      </c>
      <c r="K17" s="14">
        <f>IF(Oksar!C7=0,0,Oksar!C54/Oksar!C7)</f>
        <v/>
      </c>
      <c r="L17" s="13">
        <f>Oksar!C55</f>
        <v/>
      </c>
    </row>
    <row r="18">
      <c r="A18" s="10" t="inlineStr">
        <is>
          <t>Mellomkalv</t>
        </is>
      </c>
      <c r="B18" s="11" t="inlineStr">
        <is>
          <t>N</t>
        </is>
      </c>
      <c r="C18" s="12" t="inlineStr">
        <is>
          <t>kalvar</t>
        </is>
      </c>
      <c r="D18" s="13">
        <f>Mellomkalv!C7</f>
        <v/>
      </c>
      <c r="E18" s="13">
        <f>Mellomkalv!C47</f>
        <v/>
      </c>
      <c r="F18" s="13">
        <f>Mellomkalv!C52</f>
        <v/>
      </c>
      <c r="G18" s="13">
        <f>Mellomkalv!C53</f>
        <v/>
      </c>
      <c r="H18" s="13">
        <f>Mellomkalv!C20</f>
        <v/>
      </c>
      <c r="I18" s="13">
        <f>Mellomkalv!C54</f>
        <v/>
      </c>
      <c r="J18" s="14">
        <f>IF(Mellomkalv!C7=0,0,Mellomkalv!C53/Mellomkalv!C7)</f>
        <v/>
      </c>
      <c r="K18" s="14">
        <f>IF(Mellomkalv!C7=0,0,Mellomkalv!C54/Mellomkalv!C7)</f>
        <v/>
      </c>
      <c r="L18" s="13">
        <f>Mellomkalv!C55</f>
        <v/>
      </c>
    </row>
    <row r="19">
      <c r="A19" s="10" t="inlineStr">
        <is>
          <t>Ammekyr</t>
        </is>
      </c>
      <c r="B19" s="11" t="inlineStr">
        <is>
          <t>J</t>
        </is>
      </c>
      <c r="C19" s="12" t="inlineStr">
        <is>
          <t>ammekyr</t>
        </is>
      </c>
      <c r="D19" s="13">
        <f>Ammekyr!C7</f>
        <v/>
      </c>
      <c r="E19" s="13">
        <f>Ammekyr!C52</f>
        <v/>
      </c>
      <c r="F19" s="13">
        <f>Ammekyr!C57</f>
        <v/>
      </c>
      <c r="G19" s="13">
        <f>Ammekyr!C58</f>
        <v/>
      </c>
      <c r="H19" s="13">
        <f>Ammekyr!C25</f>
        <v/>
      </c>
      <c r="I19" s="13">
        <f>Ammekyr!C59</f>
        <v/>
      </c>
      <c r="J19" s="14">
        <f>IF(Ammekyr!C7=0,0,Ammekyr!C58/Ammekyr!C7)</f>
        <v/>
      </c>
      <c r="K19" s="14">
        <f>IF(Ammekyr!C7=0,0,Ammekyr!C59/Ammekyr!C7)</f>
        <v/>
      </c>
      <c r="L19" s="13">
        <f>Ammekyr!C60</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Sau!C58</f>
        <v/>
      </c>
      <c r="F23" s="13">
        <f>Sau!C63</f>
        <v/>
      </c>
      <c r="G23" s="13">
        <f>Sau!C64</f>
        <v/>
      </c>
      <c r="H23" s="13">
        <f>Sau!C29</f>
        <v/>
      </c>
      <c r="I23" s="13">
        <f>Sau!C65</f>
        <v/>
      </c>
      <c r="J23" s="14">
        <f>IF(Sau!C7=0,0,Sau!C64/Sau!C7)</f>
        <v/>
      </c>
      <c r="K23" s="14">
        <f>IF(Sau!C7=0,0,Sau!C65/Sau!C7)</f>
        <v/>
      </c>
      <c r="L23" s="13">
        <f>Sau!C66</f>
        <v/>
      </c>
    </row>
    <row r="24">
      <c r="A24" s="10" t="inlineStr">
        <is>
          <t>Geit</t>
        </is>
      </c>
      <c r="B24" s="11" t="inlineStr">
        <is>
          <t>N</t>
        </is>
      </c>
      <c r="C24" s="12" t="inlineStr">
        <is>
          <t>geiter</t>
        </is>
      </c>
      <c r="D24" s="13">
        <f>Geit!C7</f>
        <v/>
      </c>
      <c r="E24" s="13">
        <f>Geit!C46</f>
        <v/>
      </c>
      <c r="F24" s="13">
        <f>Geit!C51</f>
        <v/>
      </c>
      <c r="G24" s="13">
        <f>Geit!C52</f>
        <v/>
      </c>
      <c r="H24" s="13">
        <f>Geit!C18</f>
        <v/>
      </c>
      <c r="I24" s="13">
        <f>Geit!C53</f>
        <v/>
      </c>
      <c r="J24" s="14">
        <f>IF(Geit!C7=0,0,Geit!C52/Geit!C7)</f>
        <v/>
      </c>
      <c r="K24" s="14">
        <f>IF(Geit!C7=0,0,Geit!C53/Geit!C7)</f>
        <v/>
      </c>
      <c r="L24" s="13">
        <f>Geit!C54</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3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[Mjølk!C50] × Med i totalen Mjølk [Oversikt!B16 → 1/0] + Produksjonsinntekter i alt [Oksar!C47] × Med i totalen Oksar [Oversikt!B17 → 1/0] + Produksjonsinntekter i alt [Mellomkalv!C47] × Med i totalen Mellomkalv [Oversikt!B18 → 1/0] + Produksjonsinntekter i alt [Ammekyr!C52]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[Sau!C58] × Med i totalen Sau [Oversikt!B23 → 1/0] + Produksjonsinntekter i alt [Geit!C46]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[Mjølk!C55] × Med i totalen Mjølk [Oversikt!B16 → 1/0] + Variable kostnader i alt [Oksar!C52] × Med i totalen Oksar [Oversikt!B17 → 1/0] + Variable kostnader i alt [Mellomkalv!C52] × Med i totalen Mellomkalv [Oversikt!B18 → 1/0] + Variable kostnader i alt [Ammekyr!C57]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[Sau!C63] × Med i totalen Sau [Oversikt!B23 → 1/0] + Variable kostnader i alt [Geit!C51]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[Sau!C64] × Med i totalen Sau [Oversikt!B23 → 1/0] + Dekningsbidrag (DB) utan tilskot [Geit!C52]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[Mjølk!C21] × Med i totalen Mjølk [Oversikt!B16 → 1/0] + Produksjonstilskot fordelt på produksjonen [Oksar!C20] × Med i totalen Oksar [Oversikt!B17 → 1/0] + Produksjonstilskot fordelt på produksjonen [Mellomkalv!C20] × Med i totalen Mellomkalv [Oversikt!B18 → 1/0] + Produksjonstilskot fordelt på produksjonen [Ammekyr!C25]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Produksjonstilskot fordelt på produksjonen [Sau!C29] × Med i totalen Sau [Oversikt!B23 → 1/0] + Produksjonstilskot fordelt på produksjonen [Geit!C18]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kostnader'!C90</f>
        <v/>
      </c>
      <c r="D17" s="12" t="inlineStr">
        <is>
          <t>kr</t>
        </is>
      </c>
      <c r="E17" s="23" t="inlineStr">
        <is>
          <t>Sum faste kostnader = Sum faste kostnader jordbruk [Faste kostnader!C90]</t>
        </is>
      </c>
      <c r="F17" s="24" t="inlineStr">
        <is>
          <t>='Faste kostnader'!C90</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Beholdningsendring buskap/varelager, skattemessig (+ = auke)</t>
        </is>
      </c>
      <c r="B21" s="24" t="inlineStr">
        <is>
          <t>4090-4099, 4190-4199, 4290-4299, 4690-4699 (før korrigering)</t>
        </is>
      </c>
      <c r="C21" s="31" t="n">
        <v>-58135</v>
      </c>
      <c r="D21" s="12" t="inlineStr">
        <is>
          <t>kr</t>
        </is>
      </c>
      <c r="E21" s="24" t="inlineStr">
        <is>
          <t>Input. Hentast frå: 4090-4099, 4190-4199, 4290-4299, 4690-4699 (før korrigering).</t>
        </is>
      </c>
      <c r="F21" s="32" t="n"/>
    </row>
    <row r="22">
      <c r="A22" s="20" t="inlineStr">
        <is>
          <t>Beholdningsendring buskap/varelager, driftsmessig (+ = auke)</t>
        </is>
      </c>
      <c r="B22" s="24" t="inlineStr">
        <is>
          <t>Etter korrigering til driftsmessige verdiar</t>
        </is>
      </c>
      <c r="C22" s="31" t="n">
        <v>3740</v>
      </c>
      <c r="D22" s="12" t="inlineStr">
        <is>
          <t>kr</t>
        </is>
      </c>
      <c r="E22" s="24" t="inlineStr">
        <is>
          <t>Input. Hentast frå: Etter korrigering til driftsmessige verdiar.</t>
        </is>
      </c>
      <c r="F22" s="32" t="n"/>
    </row>
    <row r="23">
      <c r="A23" s="20" t="inlineStr">
        <is>
          <t>Driftsoverskot jordbruk i rekneskapen (skatt)</t>
        </is>
      </c>
      <c r="B23" s="24" t="inlineStr">
        <is>
          <t>Næringsoppgåve / resultatrekneskap</t>
        </is>
      </c>
      <c r="C23" s="31" t="n">
        <v>403480.85</v>
      </c>
      <c r="D23" s="12" t="inlineStr">
        <is>
          <t>kr</t>
        </is>
      </c>
      <c r="E23" s="24" t="inlineStr">
        <is>
          <t>Input. Hentast frå: Næringsoppgåve / resultatrekneskap.</t>
        </is>
      </c>
      <c r="F23" s="32" t="n"/>
    </row>
    <row r="24">
      <c r="A24" s="18" t="inlineStr">
        <is>
          <t>5. UTREKNING – Frå skattemessig til driftsmessig resultat</t>
        </is>
      </c>
      <c r="B24" s="19" t="n"/>
      <c r="C24" s="19" t="n"/>
      <c r="D24" s="19" t="n"/>
      <c r="E24" s="19" t="n"/>
      <c r="F24" s="19" t="n"/>
    </row>
    <row r="25">
      <c r="A25" s="20" t="inlineStr">
        <is>
          <t>Driftsmessige avskrivingar</t>
        </is>
      </c>
      <c r="B25" s="21" t="inlineStr">
        <is>
          <t>Lenkje frå anna ark</t>
        </is>
      </c>
      <c r="C25" s="13">
        <f>'Faste kostnader'!C91</f>
        <v/>
      </c>
      <c r="D25" s="12" t="inlineStr">
        <is>
          <t>kr</t>
        </is>
      </c>
      <c r="E25" s="23" t="inlineStr">
        <is>
          <t>Driftsmessige avskrivingar = – herav driftsmessige avskrivingar [Faste kostnader!C91]</t>
        </is>
      </c>
      <c r="F25" s="24" t="inlineStr">
        <is>
          <t>='Faste kostnader'!C91</t>
        </is>
      </c>
    </row>
    <row r="26">
      <c r="A26" s="20" t="inlineStr">
        <is>
          <t>Korrigering avskrivingar (skatt – drift)</t>
        </is>
      </c>
      <c r="B26" s="21" t="inlineStr">
        <is>
          <t>Utrekna</t>
        </is>
      </c>
      <c r="C26" s="22">
        <f>C20-C25</f>
        <v/>
      </c>
      <c r="D26" s="12" t="inlineStr">
        <is>
          <t>kr</t>
        </is>
      </c>
      <c r="E26" s="23" t="inlineStr">
        <is>
          <t>Korrigering avskrivingar (skatt – drift) = Skattemessige avskrivingar [C20] − Driftsmessige avskrivingar [C25]</t>
        </is>
      </c>
      <c r="F26" s="24" t="inlineStr">
        <is>
          <t>=C20-C25</t>
        </is>
      </c>
    </row>
    <row r="27">
      <c r="A27" s="20" t="inlineStr">
        <is>
          <t>Korrigering beholdningsendring (drift – skatt)</t>
        </is>
      </c>
      <c r="B27" s="21" t="inlineStr">
        <is>
          <t>Utrekna</t>
        </is>
      </c>
      <c r="C27" s="22">
        <f>C22-C21</f>
        <v/>
      </c>
      <c r="D27" s="12" t="inlineStr">
        <is>
          <t>kr</t>
        </is>
      </c>
      <c r="E27" s="23" t="inlineStr">
        <is>
          <t>Korrigering beholdningsendring (drift – skatt) = Beholdningsendring buskap/varelager, driftsmessig (+ = auke) [C22] − Beholdningsendring buskap/varelager, skattemessig (+ = auke) [C21]</t>
        </is>
      </c>
      <c r="F27" s="24" t="inlineStr">
        <is>
          <t>=C22-C21</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C23-C28</f>
        <v/>
      </c>
      <c r="D29" s="12" t="inlineStr">
        <is>
          <t>kr</t>
        </is>
      </c>
      <c r="E29" s="23" t="inlineStr">
        <is>
          <t>Avvik mot rekneskapen (bør vere 0) = Driftsoverskot jordbruk i rekneskapen (skatt) [C23] − Driftsoverskot skattemessig, berekna [C28]   (Avvik kjem av postar som ikkje er lagt inn i analysen. Eksempelanalysen har same avvik (−329,66))</t>
        </is>
      </c>
      <c r="F29" s="24" t="inlineStr">
        <is>
          <t>=C23-C28</t>
        </is>
      </c>
    </row>
    <row r="30">
      <c r="A30" s="18" t="inlineStr">
        <is>
          <t>6. INPUT/UTREKNING – Nettoinntekt</t>
        </is>
      </c>
      <c r="B30" s="19" t="n"/>
      <c r="C30" s="19" t="n"/>
      <c r="D30" s="19" t="n"/>
      <c r="E30" s="19" t="n"/>
      <c r="F30" s="19" t="n"/>
    </row>
    <row r="31">
      <c r="A31" s="20" t="inlineStr">
        <is>
          <t>Driftsoverskot andre næringar (skog, leigekøyring o.l.)</t>
        </is>
      </c>
      <c r="B31" s="24" t="inlineStr">
        <is>
          <t>Avdeling 30/70 o.l.</t>
        </is>
      </c>
      <c r="C31" s="31" t="n">
        <v>117592.22</v>
      </c>
      <c r="D31" s="12" t="inlineStr">
        <is>
          <t>kr</t>
        </is>
      </c>
      <c r="E31" s="24" t="inlineStr">
        <is>
          <t>Input. Hentast frå: Avdeling 30/70 o.l..</t>
        </is>
      </c>
      <c r="F31" s="32" t="n"/>
    </row>
    <row r="32">
      <c r="A32" s="20" t="inlineStr">
        <is>
          <t>Renteinntekter</t>
        </is>
      </c>
      <c r="B32" s="24" t="inlineStr">
        <is>
          <t>80xx</t>
        </is>
      </c>
      <c r="C32" s="31" t="n">
        <v>117</v>
      </c>
      <c r="D32" s="12" t="inlineStr">
        <is>
          <t>kr</t>
        </is>
      </c>
      <c r="E32" s="24" t="inlineStr">
        <is>
          <t>Input. Hentast frå: 80xx.</t>
        </is>
      </c>
      <c r="F32" s="32" t="n"/>
    </row>
    <row r="33">
      <c r="A33" s="20" t="inlineStr">
        <is>
          <t>Renteutgifter</t>
        </is>
      </c>
      <c r="B33" s="24" t="inlineStr">
        <is>
          <t>8100-8179</t>
        </is>
      </c>
      <c r="C33" s="31" t="n">
        <v>190284.05</v>
      </c>
      <c r="D33" s="12" t="inlineStr">
        <is>
          <t>kr</t>
        </is>
      </c>
      <c r="E33" s="24" t="inlineStr">
        <is>
          <t>Input. Hentast frå: 8100-8179.</t>
        </is>
      </c>
      <c r="F33" s="32" t="n"/>
    </row>
    <row r="34">
      <c r="A34" s="25" t="inlineStr">
        <is>
          <t>Nettoinntekt næring (driftsmessig)</t>
        </is>
      </c>
      <c r="B34" s="26" t="inlineStr">
        <is>
          <t>Utrekna</t>
        </is>
      </c>
      <c r="C34" s="27">
        <f>C18+C31+C32-C33</f>
        <v/>
      </c>
      <c r="D34" s="28" t="inlineStr">
        <is>
          <t>kr</t>
        </is>
      </c>
      <c r="E34" s="29" t="inlineStr">
        <is>
          <t>Nettoinntekt næring (driftsmessig) = Driftsoverskot jordbruk, driftsmessig [C18] + Driftsoverskot andre næringar (skog, leigekøyring o.l.) [C31] + Renteinntekter [C32] − Renteutgifter [C33]</t>
        </is>
      </c>
      <c r="F34" s="30" t="inlineStr">
        <is>
          <t>=C18+C31+C32-C33</t>
        </is>
      </c>
    </row>
    <row r="35">
      <c r="A35" s="18" t="inlineStr">
        <is>
          <t>7. OUTPUT – Nøkkeltal totaløkonomi</t>
        </is>
      </c>
      <c r="B35" s="19" t="n"/>
      <c r="C35" s="19" t="n"/>
      <c r="D35" s="19" t="n"/>
      <c r="E35" s="19" t="n"/>
      <c r="F35" s="19" t="n"/>
    </row>
    <row r="36">
      <c r="A36" s="25" t="inlineStr">
        <is>
          <t>DB m/tilskot i % av produksjonsinntekter og tilskot</t>
        </is>
      </c>
      <c r="B36" s="26" t="inlineStr">
        <is>
          <t>Utrekna</t>
        </is>
      </c>
      <c r="C36" s="33">
        <f>IF((C7+C10)=0,0,(C11)/(C7+C10))</f>
        <v/>
      </c>
      <c r="D36" s="28" t="inlineStr">
        <is>
          <t>%</t>
        </is>
      </c>
      <c r="E36" s="29" t="inlineStr">
        <is>
          <t>DB m/tilskot i % av produksjonsinntekter og tilskot = Sum DB med tilskot [C11] ÷ (Sum produksjonsinntekter [C7] + Sum tilskot fordelt på produksjonane [C10])</t>
        </is>
      </c>
      <c r="F36" s="30" t="inlineStr">
        <is>
          <t>=IF((C7+C10)=0,0,(C11)/(C7+C10))</t>
        </is>
      </c>
    </row>
    <row r="37">
      <c r="A37" s="25" t="inlineStr">
        <is>
          <t>Tilskot i % av DB m/tilskot</t>
        </is>
      </c>
      <c r="B37" s="26" t="inlineStr">
        <is>
          <t>Utrekna</t>
        </is>
      </c>
      <c r="C37" s="33">
        <f>IF((C11)=0,0,(C10)/(C11))</f>
        <v/>
      </c>
      <c r="D37" s="28" t="inlineStr">
        <is>
          <t>%</t>
        </is>
      </c>
      <c r="E37" s="29" t="inlineStr">
        <is>
          <t>Tilskot i % av DB m/tilskot = Sum tilskot fordelt på produksjonane [C10] ÷ Sum DB med tilskot [C11]</t>
        </is>
      </c>
      <c r="F37" s="30" t="inlineStr">
        <is>
          <t>=IF((C11)=0,0,(C10)/(C11))</t>
        </is>
      </c>
    </row>
    <row r="38">
      <c r="A38" s="25" t="inlineStr">
        <is>
          <t>Faste kostnader i % av DB m/tilskot</t>
        </is>
      </c>
      <c r="B38" s="26" t="inlineStr">
        <is>
          <t>Utrekna</t>
        </is>
      </c>
      <c r="C38" s="33">
        <f>IF((C11)=0,0,(C17)/(C11))</f>
        <v/>
      </c>
      <c r="D38" s="28" t="inlineStr">
        <is>
          <t>%</t>
        </is>
      </c>
      <c r="E38" s="29" t="inlineStr">
        <is>
          <t>Faste kostnader i % av DB m/tilskot = Sum faste kostnader [C17] ÷ Sum DB med tilskot [C11]</t>
        </is>
      </c>
      <c r="F38" s="30" t="inlineStr">
        <is>
          <t>=IF((C11)=0,0,(C17)/(C11))</t>
        </is>
      </c>
    </row>
    <row r="39">
      <c r="A39" s="25" t="inlineStr">
        <is>
          <t>Renteutgifter i % av driftsoverskot</t>
        </is>
      </c>
      <c r="B39" s="26" t="inlineStr">
        <is>
          <t>Utrekna</t>
        </is>
      </c>
      <c r="C39" s="33">
        <f>IF((C18)=0,0,(C33)/(C18))</f>
        <v/>
      </c>
      <c r="D39" s="28" t="inlineStr">
        <is>
          <t>%</t>
        </is>
      </c>
      <c r="E39" s="29" t="inlineStr">
        <is>
          <t>Renteutgifter i % av driftsoverskot = Renteutgifter [C33] ÷ Driftsoverskot jordbruk, driftsmessig [C18]</t>
        </is>
      </c>
      <c r="F39" s="30" t="inlineStr">
        <is>
          <t>=IF((C18)=0,0,(C33)/(C18))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9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Innandørsmekanisering – Mjølk</t>
        </is>
      </c>
      <c r="B65" s="24" t="inlineStr">
        <is>
          <t>6030, 6541, 6563, 6640 (fordelt med nøkkel)</t>
        </is>
      </c>
      <c r="C65" s="31" t="n">
        <v>0</v>
      </c>
      <c r="D65" s="12" t="inlineStr">
        <is>
          <t>kr</t>
        </is>
      </c>
      <c r="E65" s="24" t="inlineStr">
        <is>
          <t>Input. Hentast frå: 6030, 6541, 6563, 6640 (fordelt med nøkkel). Herav-post: kostnadene ligg alt i bygnings- og andre faste kostnader, her blir dei berre fordelte</t>
        </is>
      </c>
      <c r="F65" s="32" t="n"/>
    </row>
    <row r="66">
      <c r="A66" s="20" t="inlineStr">
        <is>
          <t>Innandørsmekanisering – Oksar</t>
        </is>
      </c>
      <c r="B66" s="24" t="inlineStr">
        <is>
          <t>6030, 6541, 6563, 6640 (fordelt med nøkkel)</t>
        </is>
      </c>
      <c r="C66" s="31" t="n">
        <v>0</v>
      </c>
      <c r="D66" s="12" t="inlineStr">
        <is>
          <t>kr</t>
        </is>
      </c>
      <c r="E66" s="24" t="inlineStr">
        <is>
          <t>Input. Hentast frå: 6030, 6541, 6563, 6640 (fordelt med nøkkel). Herav-post: kostnadene ligg alt i bygnings- og andre faste kostnader, her blir dei berre fordelte</t>
        </is>
      </c>
      <c r="F66" s="32" t="n"/>
    </row>
    <row r="67">
      <c r="A67" s="20" t="inlineStr">
        <is>
          <t>Innandørsmekanisering – Mellomkalv</t>
        </is>
      </c>
      <c r="B67" s="24" t="inlineStr">
        <is>
          <t>6030, 6541, 6563, 6640 (fordelt med nøkkel)</t>
        </is>
      </c>
      <c r="C67" s="31" t="n">
        <v>0</v>
      </c>
      <c r="D67" s="12" t="inlineStr">
        <is>
          <t>kr</t>
        </is>
      </c>
      <c r="E67" s="24" t="inlineStr">
        <is>
          <t>Input. Hentast frå: 6030, 6541, 6563, 6640 (fordelt med nøkkel). Herav-post: kostnadene ligg alt i bygnings- og andre faste kostnader, her blir dei berre fordelte</t>
        </is>
      </c>
      <c r="F67" s="32" t="n"/>
    </row>
    <row r="68">
      <c r="A68" s="20" t="inlineStr">
        <is>
          <t>Innandørsmekanisering – Ammekyr</t>
        </is>
      </c>
      <c r="B68" s="24" t="inlineStr">
        <is>
          <t>6030, 6541, 6563, 6640 (fordelt med nøkkel)</t>
        </is>
      </c>
      <c r="C68" s="31" t="n">
        <v>72685.58</v>
      </c>
      <c r="D68" s="12" t="inlineStr">
        <is>
          <t>kr</t>
        </is>
      </c>
      <c r="E68" s="24" t="inlineStr">
        <is>
          <t>Input. Hentast frå: 6030, 6541, 6563, 6640 (fordelt med nøkkel). Herav-post: kostnadene ligg alt i bygnings- og andre faste kostnader, her blir dei berre fordelte</t>
        </is>
      </c>
      <c r="F68" s="32" t="n"/>
    </row>
    <row r="69">
      <c r="A69" s="20" t="inlineStr">
        <is>
          <t>Innandørsmekanisering – Smågris</t>
        </is>
      </c>
      <c r="B69" s="24" t="inlineStr">
        <is>
          <t>6030, 6541, 6563, 6640 (fordelt med nøkkel)</t>
        </is>
      </c>
      <c r="C69" s="31" t="n">
        <v>0</v>
      </c>
      <c r="D69" s="12" t="inlineStr">
        <is>
          <t>kr</t>
        </is>
      </c>
      <c r="E69" s="24" t="inlineStr">
        <is>
          <t>Input. Hentast frå: 6030, 6541, 6563, 6640 (fordelt med nøkkel). Herav-post: kostnadene ligg alt i bygnings- og andre faste kostnader, her blir dei berre fordelte</t>
        </is>
      </c>
      <c r="F69" s="32" t="n"/>
    </row>
    <row r="70">
      <c r="A70" s="20" t="inlineStr">
        <is>
          <t>Innandørsmekanisering – Purkering</t>
        </is>
      </c>
      <c r="B70" s="24" t="inlineStr">
        <is>
          <t>6030, 6541, 6563, 6640 (fordelt med nøkkel)</t>
        </is>
      </c>
      <c r="C70" s="31" t="n">
        <v>0</v>
      </c>
      <c r="D70" s="12" t="inlineStr">
        <is>
          <t>kr</t>
        </is>
      </c>
      <c r="E70" s="24" t="inlineStr">
        <is>
          <t>Input. Hentast frå: 6030, 6541, 6563, 6640 (fordelt med nøkkel). Herav-post: kostnadene ligg alt i bygnings- og andre faste kostnader, her blir dei berre fordelte</t>
        </is>
      </c>
      <c r="F70" s="32" t="n"/>
    </row>
    <row r="71">
      <c r="A71" s="20" t="inlineStr">
        <is>
          <t>Innandørsmekanisering – Slaktegris</t>
        </is>
      </c>
      <c r="B71" s="24" t="inlineStr">
        <is>
          <t>6030, 6541, 6563, 6640 (fordelt med nøkkel)</t>
        </is>
      </c>
      <c r="C71" s="31" t="n">
        <v>0</v>
      </c>
      <c r="D71" s="12" t="inlineStr">
        <is>
          <t>kr</t>
        </is>
      </c>
      <c r="E71" s="24" t="inlineStr">
        <is>
          <t>Input. Hentast frå: 6030, 6541, 6563, 6640 (fordelt med nøkkel). Herav-post: kostnadene ligg alt i bygnings- og andre faste kostnader, her blir dei berre fordelte</t>
        </is>
      </c>
      <c r="F71" s="32" t="n"/>
    </row>
    <row r="72">
      <c r="A72" s="20" t="inlineStr">
        <is>
          <t>Innandørsmekanisering – Sau</t>
        </is>
      </c>
      <c r="B72" s="24" t="inlineStr">
        <is>
          <t>6030, 6541, 6563, 6640 (fordelt med nøkkel)</t>
        </is>
      </c>
      <c r="C72" s="31" t="n">
        <v>23039.63</v>
      </c>
      <c r="D72" s="12" t="inlineStr">
        <is>
          <t>kr</t>
        </is>
      </c>
      <c r="E72" s="24" t="inlineStr">
        <is>
          <t>Input. Hentast frå: 6030, 6541, 6563, 6640 (fordelt med nøkkel). Herav-post: kostnadene ligg alt i bygnings- og andre faste kostnader, her blir dei berre fordelte</t>
        </is>
      </c>
      <c r="F72" s="32" t="n"/>
    </row>
    <row r="73">
      <c r="A73" s="20" t="inlineStr">
        <is>
          <t>Innandørsmekanisering – Geit</t>
        </is>
      </c>
      <c r="B73" s="24" t="inlineStr">
        <is>
          <t>6030, 6541, 6563, 6640 (fordelt med nøkkel)</t>
        </is>
      </c>
      <c r="C73" s="31" t="n">
        <v>0</v>
      </c>
      <c r="D73" s="12" t="inlineStr">
        <is>
          <t>kr</t>
        </is>
      </c>
      <c r="E73" s="24" t="inlineStr">
        <is>
          <t>Input. Hentast frå: 6030, 6541, 6563, 6640 (fordelt med nøkkel). Herav-post: kostnadene ligg alt i bygnings- og andre faste kostnader, her blir dei berre fordelte</t>
        </is>
      </c>
      <c r="F73" s="32" t="n"/>
    </row>
    <row r="74">
      <c r="A74" s="20" t="inlineStr">
        <is>
          <t>Innandørsmekanisering – Egg</t>
        </is>
      </c>
      <c r="B74" s="24" t="inlineStr">
        <is>
          <t>6030, 6541, 6563, 6640 (fordelt med nøkkel)</t>
        </is>
      </c>
      <c r="C74" s="31" t="n">
        <v>0</v>
      </c>
      <c r="D74" s="12" t="inlineStr">
        <is>
          <t>kr</t>
        </is>
      </c>
      <c r="E74" s="24" t="inlineStr">
        <is>
          <t>Input. Hentast frå: 6030, 6541, 6563, 6640 (fordelt med nøkkel). Herav-post: kostnadene ligg alt i bygnings- og andre faste kostnader, her blir dei berre fordelte</t>
        </is>
      </c>
      <c r="F74" s="32" t="n"/>
    </row>
    <row r="75">
      <c r="A75" s="20" t="inlineStr">
        <is>
          <t>Innandørsmekanisering – Slaktekylling</t>
        </is>
      </c>
      <c r="B75" s="24" t="inlineStr">
        <is>
          <t>6030, 6541, 6563, 6640 (fordelt med nøkkel)</t>
        </is>
      </c>
      <c r="C75" s="31" t="n">
        <v>0</v>
      </c>
      <c r="D75" s="12" t="inlineStr">
        <is>
          <t>kr</t>
        </is>
      </c>
      <c r="E75" s="24" t="inlineStr">
        <is>
          <t>Input. Hentast frå: 6030, 6541, 6563, 6640 (fordelt med nøkkel). Herav-post: kostnadene ligg alt i bygnings- og andre faste kostnader, her blir dei berre fordelte</t>
        </is>
      </c>
      <c r="F75" s="32" t="n"/>
    </row>
    <row r="76">
      <c r="A76" s="20" t="inlineStr">
        <is>
          <t>Sum innandørsmekanisering (herav, inngår i summane ovanfor)</t>
        </is>
      </c>
      <c r="B76" s="21" t="inlineStr">
        <is>
          <t>Utrekna</t>
        </is>
      </c>
      <c r="C76" s="22">
        <f>C65+C66+C67+C68+C69+C70+C71+C72+C73+C74+C75</f>
        <v/>
      </c>
      <c r="D76" s="12" t="inlineStr">
        <is>
          <t>kr</t>
        </is>
      </c>
      <c r="E76" s="23" t="inlineStr">
        <is>
          <t>Sum innandørsmekanisering (herav, inngår i summane ovanfor) = Innandørsmekanisering – Mjølk [C65] + Innandørsmekanisering – Oksar [C66] + Innandørsmekanisering – Mellomkalv [C67] + Innandørsmekanisering – Ammekyr [C68] + Innandørsmekanisering – Smågris [C69] + Innandørsmekanisering – Purkering [C70] + Innandørsmekanisering – Slaktegris [C71] + Innandørsmekanisering – Sau [C72] + Innandørsmekanisering – Geit [C73] + Innandørsmekanisering – Egg [C74] + Innandørsmekanisering – Slaktekylling [C75]</t>
        </is>
      </c>
      <c r="F76" s="24" t="inlineStr">
        <is>
          <t>=C65+C66+C67+C68+C69+C70+C71+C72+C73+C74+C75</t>
        </is>
      </c>
    </row>
    <row r="77">
      <c r="A77" s="18" t="inlineStr">
        <is>
          <t>6. INPUT – Andre faste kostnader</t>
        </is>
      </c>
      <c r="B77" s="19" t="n"/>
      <c r="C77" s="19" t="n"/>
      <c r="D77" s="19" t="n"/>
      <c r="E77" s="19" t="n"/>
      <c r="F77" s="19" t="n"/>
    </row>
    <row r="78">
      <c r="A78" s="20" t="inlineStr">
        <is>
          <t>Leigd hjelp / løn / avløysar</t>
        </is>
      </c>
      <c r="B78" s="24" t="inlineStr">
        <is>
          <t>4570-4580, 5000-5599, 5700-5999, !5800-5899</t>
        </is>
      </c>
      <c r="C78" s="31" t="n">
        <v>78672.8</v>
      </c>
      <c r="D78" s="12" t="inlineStr">
        <is>
          <t>kr</t>
        </is>
      </c>
      <c r="E78" s="24" t="inlineStr">
        <is>
          <t>Input. Hentast frå: 4570-4580, 5000-5599, 5700-5999, !5800-5899.</t>
        </is>
      </c>
      <c r="F78" s="32" t="n"/>
    </row>
    <row r="79">
      <c r="A79" s="20" t="inlineStr">
        <is>
          <t>Arbeidsvederlag i selskap</t>
        </is>
      </c>
      <c r="B79" s="24" t="inlineStr">
        <is>
          <t>5600-5699</t>
        </is>
      </c>
      <c r="C79" s="31" t="n">
        <v>0</v>
      </c>
      <c r="D79" s="12" t="inlineStr">
        <is>
          <t>kr</t>
        </is>
      </c>
      <c r="E79" s="24" t="inlineStr">
        <is>
          <t>Input. Hentast frå: 5600-5699.</t>
        </is>
      </c>
      <c r="F79" s="32" t="n"/>
    </row>
    <row r="80">
      <c r="A80" s="20" t="inlineStr">
        <is>
          <t>Refusjon avløysar / sjukdom (-)</t>
        </is>
      </c>
      <c r="B80" s="24" t="inlineStr">
        <is>
          <t>3440-3442, 5800-5899</t>
        </is>
      </c>
      <c r="C80" s="31" t="n">
        <v>-62681</v>
      </c>
      <c r="D80" s="12" t="inlineStr">
        <is>
          <t>kr</t>
        </is>
      </c>
      <c r="E80" s="24" t="inlineStr">
        <is>
          <t>Input. Hentast frå: 3440-3442, 5800-5899.</t>
        </is>
      </c>
      <c r="F80" s="32" t="n"/>
    </row>
    <row r="81">
      <c r="A81" s="20" t="inlineStr">
        <is>
          <t>Leige av jord, beite og mjølkekvote</t>
        </is>
      </c>
      <c r="B81" s="24" t="inlineStr">
        <is>
          <t>6471, 6472, 6475</t>
        </is>
      </c>
      <c r="C81" s="31" t="n">
        <v>0</v>
      </c>
      <c r="D81" s="12" t="inlineStr">
        <is>
          <t>kr</t>
        </is>
      </c>
      <c r="E81" s="24" t="inlineStr">
        <is>
          <t>Input. Hentast frå: 6471, 6472, 6475.</t>
        </is>
      </c>
      <c r="F81" s="32" t="n"/>
    </row>
    <row r="82">
      <c r="A82" s="20" t="inlineStr">
        <is>
          <t>Vedlikehald jord, vegar, grøfter og anna</t>
        </is>
      </c>
      <c r="B82" s="24" t="inlineStr">
        <is>
          <t>6650-6699</t>
        </is>
      </c>
      <c r="C82" s="31" t="n">
        <v>5000</v>
      </c>
      <c r="D82" s="12" t="inlineStr">
        <is>
          <t>kr</t>
        </is>
      </c>
      <c r="E82" s="24" t="inlineStr">
        <is>
          <t>Input. Hentast frå: 6650-6699.</t>
        </is>
      </c>
      <c r="F82" s="32" t="n"/>
    </row>
    <row r="83">
      <c r="A83" s="20" t="inlineStr">
        <is>
          <t>Energi (straum, brensel) som ikkje er fordelt</t>
        </is>
      </c>
      <c r="B83" s="24" t="inlineStr">
        <is>
          <t>6200-6249</t>
        </is>
      </c>
      <c r="C83" s="31" t="n">
        <v>23734.87</v>
      </c>
      <c r="D83" s="12" t="inlineStr">
        <is>
          <t>kr</t>
        </is>
      </c>
      <c r="E83" s="24" t="inlineStr">
        <is>
          <t>Input. Hentast frå: 6200-6249.</t>
        </is>
      </c>
      <c r="F83" s="32" t="n"/>
    </row>
    <row r="84">
      <c r="A84" s="20" t="inlineStr">
        <is>
          <t>Administrasjon (rekneskap, kontor, telefon, kontingentar, forsikring)</t>
        </is>
      </c>
      <c r="B84" s="24" t="inlineStr">
        <is>
          <t>6700-6999, 7100-7499, 7500, 7502, 7509, 7600-7799</t>
        </is>
      </c>
      <c r="C84" s="31" t="n">
        <v>156309.53</v>
      </c>
      <c r="D84" s="12" t="inlineStr">
        <is>
          <t>kr</t>
        </is>
      </c>
      <c r="E84" s="24" t="inlineStr">
        <is>
          <t>Input. Hentast frå: 6700-6999, 7100-7499, 7500, 7502, 7509, 7600-7799.</t>
        </is>
      </c>
      <c r="F84" s="32" t="n"/>
    </row>
    <row r="85">
      <c r="A85" s="20" t="inlineStr">
        <is>
          <t>Bil og transportmiddel</t>
        </is>
      </c>
      <c r="B85" s="24" t="inlineStr">
        <is>
          <t>6011-6014, 7000-7099</t>
        </is>
      </c>
      <c r="C85" s="31" t="n">
        <v>0</v>
      </c>
      <c r="D85" s="12" t="inlineStr">
        <is>
          <t>kr</t>
        </is>
      </c>
      <c r="E85" s="24" t="inlineStr">
        <is>
          <t>Input. Hentast frå: 6011-6014, 7000-7099.</t>
        </is>
      </c>
      <c r="F85" s="32" t="n"/>
    </row>
    <row r="86">
      <c r="A86" s="20" t="inlineStr">
        <is>
          <t>Andre avskrivingar (driftsmessige)</t>
        </is>
      </c>
      <c r="B86" s="24" t="inlineStr">
        <is>
          <t>6015-6019</t>
        </is>
      </c>
      <c r="C86" s="31" t="n">
        <v>0</v>
      </c>
      <c r="D86" s="12" t="inlineStr">
        <is>
          <t>kr</t>
        </is>
      </c>
      <c r="E86" s="24" t="inlineStr">
        <is>
          <t>Input. Hentast frå: 6015-6019.</t>
        </is>
      </c>
      <c r="F86" s="32" t="n"/>
    </row>
    <row r="87">
      <c r="A87" s="20" t="inlineStr">
        <is>
          <t>Annan fast kostnad (resten av 5000–7999)</t>
        </is>
      </c>
      <c r="B87" s="24" t="inlineStr"/>
      <c r="C87" s="31" t="n">
        <v>66370.83</v>
      </c>
      <c r="D87" s="12" t="inlineStr">
        <is>
          <t>kr</t>
        </is>
      </c>
      <c r="E87" s="24" t="inlineStr">
        <is>
          <t>Input.</t>
        </is>
      </c>
      <c r="F87" s="32" t="n"/>
    </row>
    <row r="88">
      <c r="A88" s="20" t="inlineStr">
        <is>
          <t>Sum andre faste kostnader</t>
        </is>
      </c>
      <c r="B88" s="21" t="inlineStr">
        <is>
          <t>Utrekna</t>
        </is>
      </c>
      <c r="C88" s="22">
        <f>C78+C79+C80+C81+C82+C83+C84+C85+C86+C87</f>
        <v/>
      </c>
      <c r="D88" s="12" t="inlineStr">
        <is>
          <t>kr</t>
        </is>
      </c>
      <c r="E88" s="23" t="inlineStr">
        <is>
          <t>Sum andre faste kostnader = Leigd hjelp / løn / avløysar [C78] + Arbeidsvederlag i selskap [C79] + Refusjon avløysar / sjukdom (-) [C80] + Leige av jord, beite og mjølkekvote [C81] + Vedlikehald jord, vegar, grøfter og anna [C82] + Energi (straum, brensel) som ikkje er fordelt [C83] + Administrasjon (rekneskap, kontor, telefon, kontingentar, forsikring) [C84] + Bil og transportmiddel [C85] + Andre avskrivingar (driftsmessige) [C86] + Annan fast kostnad (resten av 5000–7999) [C87]</t>
        </is>
      </c>
      <c r="F88" s="24" t="inlineStr">
        <is>
          <t>=C78+C79+C80+C81+C82+C83+C84+C85+C86+C87</t>
        </is>
      </c>
    </row>
    <row r="89">
      <c r="A89" s="18" t="inlineStr">
        <is>
          <t>7. OUTPUT – Sum faste kostnader</t>
        </is>
      </c>
      <c r="B89" s="19" t="n"/>
      <c r="C89" s="19" t="n"/>
      <c r="D89" s="19" t="n"/>
      <c r="E89" s="19" t="n"/>
      <c r="F89" s="19" t="n"/>
    </row>
    <row r="90">
      <c r="A90" s="25" t="inlineStr">
        <is>
          <t>Sum faste kostnader jordbruk</t>
        </is>
      </c>
      <c r="B90" s="26" t="inlineStr">
        <is>
          <t>Utrekna</t>
        </is>
      </c>
      <c r="C90" s="27">
        <f>C13+C63+C88</f>
        <v/>
      </c>
      <c r="D90" s="28" t="inlineStr">
        <is>
          <t>kr</t>
        </is>
      </c>
      <c r="E90" s="29" t="inlineStr">
        <is>
          <t>Sum faste kostnader jordbruk = Sum maskinkostnader [C13] + Sum bygningskostnader [C63] + Sum andre faste kostnader [C88]   (Innandørsmekanisering er ein herav-post og blir ikkje lagd til (same som eksempelanalysen))</t>
        </is>
      </c>
      <c r="F90" s="30" t="inlineStr">
        <is>
          <t>=C13+C63+C88</t>
        </is>
      </c>
    </row>
    <row r="91">
      <c r="A91" s="20" t="inlineStr">
        <is>
          <t>– herav driftsmessige avskrivingar</t>
        </is>
      </c>
      <c r="B91" s="21" t="inlineStr">
        <is>
          <t>Utrekna</t>
        </is>
      </c>
      <c r="C91" s="22">
        <f>C11+C60+C86</f>
        <v/>
      </c>
      <c r="D91" s="12" t="inlineStr">
        <is>
          <t>kr</t>
        </is>
      </c>
      <c r="E91" s="23" t="inlineStr">
        <is>
          <t>– herav driftsmessige avskrivingar = Avskrivingar maskiner og reiskap (driftsmessige) [C11] + Avskrivingar bygningar og anlegg (driftsmessige) [C60] + Andre avskrivingar (driftsmessige) [C86]</t>
        </is>
      </c>
      <c r="F91" s="24" t="inlineStr">
        <is>
          <t>=C11+C60+C86</t>
        </is>
      </c>
    </row>
    <row r="92">
      <c r="A92" s="25" t="inlineStr">
        <is>
          <t>Maskinkostnader i % av faste kostnader</t>
        </is>
      </c>
      <c r="B92" s="26" t="inlineStr">
        <is>
          <t>Utrekna</t>
        </is>
      </c>
      <c r="C92" s="33">
        <f>IF((C90)=0,0,(C13)/(C90))</f>
        <v/>
      </c>
      <c r="D92" s="28" t="inlineStr">
        <is>
          <t>%</t>
        </is>
      </c>
      <c r="E92" s="29" t="inlineStr">
        <is>
          <t>Maskinkostnader i % av faste kostnader = Sum maskinkostnader [C13] ÷ Sum faste kostnader jordbruk [C90]</t>
        </is>
      </c>
      <c r="F92" s="30" t="inlineStr">
        <is>
          <t>=IF((C90)=0,0,(C13)/(C90))</t>
        </is>
      </c>
    </row>
    <row r="93">
      <c r="A93" s="25" t="inlineStr">
        <is>
          <t>Bygningskostnader i % av faste kostnader</t>
        </is>
      </c>
      <c r="B93" s="26" t="inlineStr">
        <is>
          <t>Utrekna</t>
        </is>
      </c>
      <c r="C93" s="33">
        <f>IF((C90)=0,0,(C63)/(C90))</f>
        <v/>
      </c>
      <c r="D93" s="28" t="inlineStr">
        <is>
          <t>%</t>
        </is>
      </c>
      <c r="E93" s="29" t="inlineStr">
        <is>
          <t>Bygningskostnader i % av faste kostnader = Sum bygningskostnader [C63] ÷ Sum faste kostnader jordbruk [C90]</t>
        </is>
      </c>
      <c r="F93" s="30" t="inlineStr">
        <is>
          <t>=IF((C90)=0,0,(C63)/(C90))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6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Dekar grovfôr – maskinkostnadsgrunnlag (overflate/2 + fulldyrka + kulturbeite×10 %)</t>
        </is>
      </c>
      <c r="B20" s="21" t="inlineStr">
        <is>
          <t>Utrekna</t>
        </is>
      </c>
      <c r="C20" s="36">
        <f>C7/2+C18+C19*0.1</f>
        <v/>
      </c>
      <c r="D20" s="12" t="inlineStr">
        <is>
          <t>da</t>
        </is>
      </c>
      <c r="E20" s="23" t="inlineStr">
        <is>
          <t>Dekar grovfôr – maskinkostnadsgrunnlag (overflate/2 + fulldyrka + kulturbeite×10 %) = Overflatedyrka jord til eng og beite [C7] / 2 + Fulldyrka til eigen grovfôrbasert husdyrproduksjon [C18] + Kulturbeite til eige bruk [C19] × 0,1</t>
        </is>
      </c>
      <c r="F20" s="24" t="inlineStr">
        <is>
          <t>=C7/2+C18+C19*0.1</t>
        </is>
      </c>
    </row>
    <row r="21">
      <c r="A21" s="25" t="inlineStr">
        <is>
          <t>Korrigert grovfôrareal (overflate/1,25 + fulldyrka + kulturbeite/2,5)</t>
        </is>
      </c>
      <c r="B21" s="26" t="inlineStr">
        <is>
          <t>Utrekna</t>
        </is>
      </c>
      <c r="C21" s="37">
        <f>C7/1.25+C18+C19/2.5</f>
        <v/>
      </c>
      <c r="D21" s="28" t="inlineStr">
        <is>
          <t>da</t>
        </is>
      </c>
      <c r="E21" s="29" t="inlineStr">
        <is>
          <t>Korrigert grovfôrareal (overflate/1,25 + fulldyrka + kulturbeite/2,5) = Overflatedyrka jord til eng og beite [C7] / 1,25 + Fulldyrka til eigen grovfôrbasert husdyrproduksjon [C18] + Kulturbeite til eige bruk [C19] / 2,5</t>
        </is>
      </c>
      <c r="F21" s="30" t="inlineStr">
        <is>
          <t>=C7/1.25+C18+C19/2.5</t>
        </is>
      </c>
    </row>
    <row r="22">
      <c r="A22" s="20" t="inlineStr">
        <is>
          <t>Fôreiningar (FEm) henta frå utmark</t>
        </is>
      </c>
      <c r="B22" s="21" t="inlineStr">
        <is>
          <t>Utrekna</t>
        </is>
      </c>
      <c r="C22" s="22">
        <f>C12*1.05*95+C13*1*90+C14*7.2*92+C15*4.8*92</f>
        <v/>
      </c>
      <c r="D22" s="12" t="inlineStr">
        <is>
          <t>FEm</t>
        </is>
      </c>
      <c r="E22"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2" s="24" t="inlineStr">
        <is>
          <t>=C12*1.05*95+C13*1*90+C14*7.2*92+C15*4.8*92</t>
        </is>
      </c>
    </row>
    <row r="23">
      <c r="A23" s="20" t="inlineStr">
        <is>
          <t>Utmark omrekna til «fulldyrka» dekar (900 FEm/da)</t>
        </is>
      </c>
      <c r="B23" s="21" t="inlineStr">
        <is>
          <t>Utrekna</t>
        </is>
      </c>
      <c r="C23" s="36">
        <f>C22/900</f>
        <v/>
      </c>
      <c r="D23" s="12" t="inlineStr">
        <is>
          <t>da</t>
        </is>
      </c>
      <c r="E23" s="23" t="inlineStr">
        <is>
          <t>Utmark omrekna til «fulldyrka» dekar (900 FEm/da) = Fôreiningar (FEm) henta frå utmark [C22] / 900</t>
        </is>
      </c>
      <c r="F23" s="24" t="inlineStr">
        <is>
          <t>=C22/900</t>
        </is>
      </c>
    </row>
    <row r="24">
      <c r="A24" s="18" t="inlineStr">
        <is>
          <t>4. UTREKNING – «Kueiningar» og eigen grovfôrkostnad pr produksjon (berre produksjonar med i totalen)</t>
        </is>
      </c>
      <c r="B24" s="19" t="n"/>
      <c r="C24" s="19" t="n"/>
      <c r="D24" s="19" t="n"/>
      <c r="E24" s="19" t="n"/>
      <c r="F24" s="19" t="n"/>
    </row>
    <row r="25">
      <c r="A25" s="20" t="inlineStr">
        <is>
          <t>Kueiningar – Mjølk</t>
        </is>
      </c>
      <c r="B25" s="21" t="inlineStr">
        <is>
          <t>Utrekna</t>
        </is>
      </c>
      <c r="C25" s="38">
        <f>'Mjølk'!C59*IF(Oversikt!$B$16="J",1,0)</f>
        <v/>
      </c>
      <c r="D25" s="12" t="inlineStr">
        <is>
          <t>stk</t>
        </is>
      </c>
      <c r="E25" s="23" t="inlineStr">
        <is>
          <t>Kueiningar – Mjølk = «Kueiningar» [Mjølk!C59] × Med i totalen Mjølk [Oversikt!B16 → 1/0]</t>
        </is>
      </c>
      <c r="F25" s="24" t="inlineStr">
        <is>
          <t>='Mjølk'!C59*IF(Oversikt!$B$16="J",1,0)</t>
        </is>
      </c>
    </row>
    <row r="26">
      <c r="A26" s="20" t="inlineStr">
        <is>
          <t>Kueiningar – Oksar</t>
        </is>
      </c>
      <c r="B26" s="21" t="inlineStr">
        <is>
          <t>Utrekna</t>
        </is>
      </c>
      <c r="C26" s="38">
        <f>Oksar!C56*IF(Oversikt!$B$17="J",1,0)</f>
        <v/>
      </c>
      <c r="D26" s="12" t="inlineStr">
        <is>
          <t>stk</t>
        </is>
      </c>
      <c r="E26" s="23" t="inlineStr">
        <is>
          <t>Kueiningar – Oksar = «Kueiningar» [Oksar!C56] × Med i totalen Oksar [Oversikt!B17 → 1/0]</t>
        </is>
      </c>
      <c r="F26" s="24" t="inlineStr">
        <is>
          <t>=Oksar!C56*IF(Oversikt!$B$17="J",1,0)</t>
        </is>
      </c>
    </row>
    <row r="27">
      <c r="A27" s="20" t="inlineStr">
        <is>
          <t>Kueiningar – Mellomkalv</t>
        </is>
      </c>
      <c r="B27" s="21" t="inlineStr">
        <is>
          <t>Utrekna</t>
        </is>
      </c>
      <c r="C27" s="38">
        <f>Mellomkalv!C56*IF(Oversikt!$B$18="J",1,0)</f>
        <v/>
      </c>
      <c r="D27" s="12" t="inlineStr">
        <is>
          <t>stk</t>
        </is>
      </c>
      <c r="E27" s="23" t="inlineStr">
        <is>
          <t>Kueiningar – Mellomkalv = «Kueiningar» [Mellomkalv!C56] × Med i totalen Mellomkalv [Oversikt!B18 → 1/0]</t>
        </is>
      </c>
      <c r="F27" s="24" t="inlineStr">
        <is>
          <t>=Mellomkalv!C56*IF(Oversikt!$B$18="J",1,0)</t>
        </is>
      </c>
    </row>
    <row r="28">
      <c r="A28" s="20" t="inlineStr">
        <is>
          <t>Kueiningar – Ammekyr</t>
        </is>
      </c>
      <c r="B28" s="21" t="inlineStr">
        <is>
          <t>Utrekna</t>
        </is>
      </c>
      <c r="C28" s="38">
        <f>Ammekyr!C61*IF(Oversikt!$B$19="J",1,0)</f>
        <v/>
      </c>
      <c r="D28" s="12" t="inlineStr">
        <is>
          <t>stk</t>
        </is>
      </c>
      <c r="E28" s="23" t="inlineStr">
        <is>
          <t>Kueiningar – Ammekyr = «Kueiningar» [Ammekyr!C61] × Med i totalen Ammekyr [Oversikt!B19 → 1/0]</t>
        </is>
      </c>
      <c r="F28" s="24" t="inlineStr">
        <is>
          <t>=Ammekyr!C61*IF(Oversikt!$B$19="J",1,0)</t>
        </is>
      </c>
    </row>
    <row r="29">
      <c r="A29" s="20" t="inlineStr">
        <is>
          <t>Kueiningar – Sau</t>
        </is>
      </c>
      <c r="B29" s="21" t="inlineStr">
        <is>
          <t>Utrekna</t>
        </is>
      </c>
      <c r="C29" s="38">
        <f>Sau!C67*IF(Oversikt!$B$23="J",1,0)</f>
        <v/>
      </c>
      <c r="D29" s="12" t="inlineStr">
        <is>
          <t>stk</t>
        </is>
      </c>
      <c r="E29" s="23" t="inlineStr">
        <is>
          <t>Kueiningar – Sau = «Kueiningar» [Sau!C67] × Med i totalen Sau [Oversikt!B23 → 1/0]</t>
        </is>
      </c>
      <c r="F29" s="24" t="inlineStr">
        <is>
          <t>=Sau!C67*IF(Oversikt!$B$23="J",1,0)</t>
        </is>
      </c>
    </row>
    <row r="30">
      <c r="A30" s="20" t="inlineStr">
        <is>
          <t>Kueiningar – Geit</t>
        </is>
      </c>
      <c r="B30" s="21" t="inlineStr">
        <is>
          <t>Utrekna</t>
        </is>
      </c>
      <c r="C30" s="38">
        <f>Geit!C55*IF(Oversikt!$B$24="J",1,0)</f>
        <v/>
      </c>
      <c r="D30" s="12" t="inlineStr">
        <is>
          <t>stk</t>
        </is>
      </c>
      <c r="E30" s="23" t="inlineStr">
        <is>
          <t>Kueiningar – Geit = «Kueiningar» [Geit!C55] × Med i totalen Geit [Oversikt!B24 → 1/0]</t>
        </is>
      </c>
      <c r="F30" s="24" t="inlineStr">
        <is>
          <t>=Geit!C55*IF(Oversikt!$B$24="J",1,0)</t>
        </is>
      </c>
    </row>
    <row r="31">
      <c r="A31" s="25" t="inlineStr">
        <is>
          <t>Sum «kueiningar»</t>
        </is>
      </c>
      <c r="B31" s="26" t="inlineStr">
        <is>
          <t>Utrekna</t>
        </is>
      </c>
      <c r="C31" s="39">
        <f>C25+C26+C27+C28+C29+C30</f>
        <v/>
      </c>
      <c r="D31" s="28" t="inlineStr">
        <is>
          <t>stk</t>
        </is>
      </c>
      <c r="E31" s="29" t="inlineStr">
        <is>
          <t>Sum «kueiningar» = Kueiningar – Mjølk [C25] + Kueiningar – Oksar [C26] + Kueiningar – Mellomkalv [C27] + Kueiningar – Ammekyr [C28] + Kueiningar – Sau [C29] + Kueiningar – Geit [C30]</t>
        </is>
      </c>
      <c r="F31" s="30" t="inlineStr">
        <is>
          <t>=C25+C26+C27+C28+C29+C30</t>
        </is>
      </c>
    </row>
    <row r="32">
      <c r="A32" s="20" t="inlineStr">
        <is>
          <t>Eigen grovfôrkostnad – Mjølk</t>
        </is>
      </c>
      <c r="B32" s="21" t="inlineStr">
        <is>
          <t>Utrekna</t>
        </is>
      </c>
      <c r="C32" s="22">
        <f>'Mjølk'!C53*IF(Oversikt!$B$16="J",1,0)</f>
        <v/>
      </c>
      <c r="D32" s="12" t="inlineStr">
        <is>
          <t>kr</t>
        </is>
      </c>
      <c r="E32" s="23" t="inlineStr">
        <is>
          <t>Eigen grovfôrkostnad – Mjølk = Sum eigen grovfôrproduksjon (utan lagerendring) [Mjølk!C53] × Med i totalen Mjølk [Oversikt!B16 → 1/0]</t>
        </is>
      </c>
      <c r="F32" s="24" t="inlineStr">
        <is>
          <t>='Mjølk'!C53*IF(Oversikt!$B$16="J",1,0)</t>
        </is>
      </c>
    </row>
    <row r="33">
      <c r="A33" s="20" t="inlineStr">
        <is>
          <t>Eigen grovfôrkostnad – Oksar</t>
        </is>
      </c>
      <c r="B33" s="21" t="inlineStr">
        <is>
          <t>Utrekna</t>
        </is>
      </c>
      <c r="C33" s="22">
        <f>Oksar!C50*IF(Oversikt!$B$17="J",1,0)</f>
        <v/>
      </c>
      <c r="D33" s="12" t="inlineStr">
        <is>
          <t>kr</t>
        </is>
      </c>
      <c r="E33" s="23" t="inlineStr">
        <is>
          <t>Eigen grovfôrkostnad – Oksar = Sum eigen grovfôrproduksjon (utan lagerendring) [Oksar!C50] × Med i totalen Oksar [Oversikt!B17 → 1/0]</t>
        </is>
      </c>
      <c r="F33" s="24" t="inlineStr">
        <is>
          <t>=Oksar!C50*IF(Oversikt!$B$17="J",1,0)</t>
        </is>
      </c>
    </row>
    <row r="34">
      <c r="A34" s="20" t="inlineStr">
        <is>
          <t>Eigen grovfôrkostnad – Mellomkalv</t>
        </is>
      </c>
      <c r="B34" s="21" t="inlineStr">
        <is>
          <t>Utrekna</t>
        </is>
      </c>
      <c r="C34" s="22">
        <f>Mellomkalv!C50*IF(Oversikt!$B$18="J",1,0)</f>
        <v/>
      </c>
      <c r="D34" s="12" t="inlineStr">
        <is>
          <t>kr</t>
        </is>
      </c>
      <c r="E34" s="23" t="inlineStr">
        <is>
          <t>Eigen grovfôrkostnad – Mellomkalv = Sum eigen grovfôrproduksjon (utan lagerendring) [Mellomkalv!C50] × Med i totalen Mellomkalv [Oversikt!B18 → 1/0]</t>
        </is>
      </c>
      <c r="F34" s="24" t="inlineStr">
        <is>
          <t>=Mellomkalv!C50*IF(Oversikt!$B$18="J",1,0)</t>
        </is>
      </c>
    </row>
    <row r="35">
      <c r="A35" s="20" t="inlineStr">
        <is>
          <t>Eigen grovfôrkostnad – Ammekyr</t>
        </is>
      </c>
      <c r="B35" s="21" t="inlineStr">
        <is>
          <t>Utrekna</t>
        </is>
      </c>
      <c r="C35" s="22">
        <f>Ammekyr!C55*IF(Oversikt!$B$19="J",1,0)</f>
        <v/>
      </c>
      <c r="D35" s="12" t="inlineStr">
        <is>
          <t>kr</t>
        </is>
      </c>
      <c r="E35" s="23" t="inlineStr">
        <is>
          <t>Eigen grovfôrkostnad – Ammekyr = Sum eigen grovfôrproduksjon (utan lagerendring) [Ammekyr!C55] × Med i totalen Ammekyr [Oversikt!B19 → 1/0]</t>
        </is>
      </c>
      <c r="F35" s="24" t="inlineStr">
        <is>
          <t>=Ammekyr!C55*IF(Oversikt!$B$19="J",1,0)</t>
        </is>
      </c>
    </row>
    <row r="36">
      <c r="A36" s="20" t="inlineStr">
        <is>
          <t>Eigen grovfôrkostnad – Sau</t>
        </is>
      </c>
      <c r="B36" s="21" t="inlineStr">
        <is>
          <t>Utrekna</t>
        </is>
      </c>
      <c r="C36" s="22">
        <f>Sau!C61*IF(Oversikt!$B$23="J",1,0)</f>
        <v/>
      </c>
      <c r="D36" s="12" t="inlineStr">
        <is>
          <t>kr</t>
        </is>
      </c>
      <c r="E36" s="23" t="inlineStr">
        <is>
          <t>Eigen grovfôrkostnad – Sau = Sum eigen grovfôrproduksjon (utan lagerendring) [Sau!C61] × Med i totalen Sau [Oversikt!B23 → 1/0]</t>
        </is>
      </c>
      <c r="F36" s="24" t="inlineStr">
        <is>
          <t>=Sau!C61*IF(Oversikt!$B$23="J",1,0)</t>
        </is>
      </c>
    </row>
    <row r="37">
      <c r="A37" s="20" t="inlineStr">
        <is>
          <t>Eigen grovfôrkostnad – Geit</t>
        </is>
      </c>
      <c r="B37" s="21" t="inlineStr">
        <is>
          <t>Utrekna</t>
        </is>
      </c>
      <c r="C37" s="22">
        <f>Geit!C49*IF(Oversikt!$B$24="J",1,0)</f>
        <v/>
      </c>
      <c r="D37" s="12" t="inlineStr">
        <is>
          <t>kr</t>
        </is>
      </c>
      <c r="E37" s="23" t="inlineStr">
        <is>
          <t>Eigen grovfôrkostnad – Geit = Sum eigen grovfôrproduksjon (utan lagerendring) [Geit!C49] × Med i totalen Geit [Oversikt!B24 → 1/0]</t>
        </is>
      </c>
      <c r="F37" s="24" t="inlineStr">
        <is>
          <t>=Geit!C49*IF(Oversikt!$B$24="J",1,0)</t>
        </is>
      </c>
    </row>
    <row r="38">
      <c r="A38" s="20" t="inlineStr">
        <is>
          <t>Sum eigen grovfôrkostnad (fordelingsnøkkel areal)</t>
        </is>
      </c>
      <c r="B38" s="21" t="inlineStr">
        <is>
          <t>Utrekna</t>
        </is>
      </c>
      <c r="C38" s="22">
        <f>C32+C33+C34+C35+C36+C37</f>
        <v/>
      </c>
      <c r="D38" s="12" t="inlineStr">
        <is>
          <t>kr</t>
        </is>
      </c>
      <c r="E38" s="23" t="inlineStr">
        <is>
          <t>Sum eigen grovfôrkostnad (fordelingsnøkkel areal) = Eigen grovfôrkostnad – Mjølk [C32] + Eigen grovfôrkostnad – Oksar [C33] + Eigen grovfôrkostnad – Mellomkalv [C34] + Eigen grovfôrkostnad – Ammekyr [C35] + Eigen grovfôrkostnad – Sau [C36] + Eigen grovfôrkostnad – Geit [C37]</t>
        </is>
      </c>
      <c r="F38" s="24" t="inlineStr">
        <is>
          <t>=C32+C33+C34+C35+C36+C37</t>
        </is>
      </c>
    </row>
    <row r="39">
      <c r="A39" s="20" t="inlineStr">
        <is>
          <t>Sum variabel grovfôrkostnad (utan plast)</t>
        </is>
      </c>
      <c r="B39" s="21" t="inlineStr">
        <is>
          <t>Utrekna</t>
        </is>
      </c>
      <c r="C39" s="22">
        <f>'Mjølk'!C52*IF(Oversikt!$B$16="J",1,0)+Oksar!C49*IF(Oversikt!$B$17="J",1,0)+Mellomkalv!C49*IF(Oversikt!$B$18="J",1,0)+Ammekyr!C54*IF(Oversikt!$B$19="J",1,0)+Sau!C60*IF(Oversikt!$B$23="J",1,0)+Geit!C48*IF(Oversikt!$B$24="J",1,0)</f>
        <v/>
      </c>
      <c r="D39" s="12" t="inlineStr">
        <is>
          <t>kr</t>
        </is>
      </c>
      <c r="E39" s="23" t="inlineStr">
        <is>
          <t>Sum variabel grovfôrkostnad (utan plast) = Variabel grovfôrkostnad (utan plast og lagerendring eigenprodusert) [Mjølk!C52] × Med i totalen Mjølk [Oversikt!B16 → 1/0] + Variabel grovfôrkostnad (utan plast og lagerendring eigenprodusert) [Oksar!C49] × Med i totalen Oksar [Oversikt!B17 → 1/0] + Variabel grovfôrkostnad (utan plast og lagerendring eigenprodusert) [Mellomkalv!C49] × Med i totalen Mellomkalv [Oversikt!B18 → 1/0] + Variabel grovfôrkostnad (utan plast og lagerendring eigenprodusert) [Ammekyr!C54] × Med i totalen Ammekyr [Oversikt!B19 → 1/0] + Variabel grovfôrkostnad (utan plast og lagerendring eigenprodusert) [Sau!C60] × Med i totalen Sau [Oversikt!B23 → 1/0] + Variabel grovfôrkostnad (utan plast og lagerendring eigenprodusert) [Geit!C48] × Med i totalen Geit [Oversikt!B24 → 1/0]</t>
        </is>
      </c>
      <c r="F39" s="24" t="inlineStr">
        <is>
          <t>='Mjølk'!C52*IF(Oversikt!$B$16="J",1,0)+Oksar!C49*IF(Oversikt!$B$17="J",1,0)+Mellomkalv!C49*IF(Oversikt!$B$18="J",1,0)+Ammekyr!C54*IF(Oversikt!$B$19="J",1,0)+Sau!C60*IF(Oversikt!$B$23="J",1,0)+Geit!C48*IF(Oversikt!$B$24="J",1,0)</t>
        </is>
      </c>
    </row>
    <row r="40">
      <c r="A40" s="20" t="inlineStr">
        <is>
          <t>Maskinkostnader i grovfôrproduksjonane</t>
        </is>
      </c>
      <c r="B40" s="21" t="inlineStr">
        <is>
          <t>Utrekna</t>
        </is>
      </c>
      <c r="C40" s="22">
        <f>'Faste kostnader'!C46*IF(Oversikt!$B$16="J",1,0)+'Faste kostnader'!C47*IF(Oversikt!$B$17="J",1,0)+'Faste kostnader'!C48*IF(Oversikt!$B$18="J",1,0)+'Faste kostnader'!C49*IF(Oversikt!$B$19="J",1,0)+'Faste kostnader'!C53*IF(Oversikt!$B$23="J",1,0)+'Faste kostnader'!C54*IF(Oversikt!$B$24="J",1,0)</f>
        <v/>
      </c>
      <c r="D40" s="12" t="inlineStr">
        <is>
          <t>kr</t>
        </is>
      </c>
      <c r="E40"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40" s="24" t="inlineStr">
        <is>
          <t>='Faste kostnader'!C46*IF(Oversikt!$B$16="J",1,0)+'Faste kostnader'!C47*IF(Oversikt!$B$17="J",1,0)+'Faste kostnader'!C48*IF(Oversikt!$B$18="J",1,0)+'Faste kostnader'!C49*IF(Oversikt!$B$19="J",1,0)+'Faste kostnader'!C53*IF(Oversikt!$B$23="J",1,0)+'Faste kostnader'!C54*IF(Oversikt!$B$24="J",1,0)</t>
        </is>
      </c>
    </row>
    <row r="41">
      <c r="A41" s="20" t="inlineStr">
        <is>
          <t>DB grovfôrbaserte husdyr u/tilskot</t>
        </is>
      </c>
      <c r="B41" s="21" t="inlineStr">
        <is>
          <t>Utrekna</t>
        </is>
      </c>
      <c r="C41" s="22">
        <f>'Mjølk'!C56*IF(Oversikt!$B$16="J",1,0)+Oksar!C53*IF(Oversikt!$B$17="J",1,0)+Mellomkalv!C53*IF(Oversikt!$B$18="J",1,0)+Ammekyr!C58*IF(Oversikt!$B$19="J",1,0)+Sau!C64*IF(Oversikt!$B$23="J",1,0)+Geit!C52*IF(Oversikt!$B$24="J",1,0)</f>
        <v/>
      </c>
      <c r="D41" s="12" t="inlineStr">
        <is>
          <t>kr</t>
        </is>
      </c>
      <c r="E41" s="23" t="inlineStr">
        <is>
          <t>DB grovfôrbaserte husdyr u/tilskot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[Sau!C64] × Med i totalen Sau [Oversikt!B23 → 1/0] + Dekningsbidrag (DB) utan tilskot [Geit!C52] × Med i totalen Geit [Oversikt!B24 → 1/0]</t>
        </is>
      </c>
      <c r="F41" s="24" t="inlineStr">
        <is>
          <t>='Mjølk'!C56*IF(Oversikt!$B$16="J",1,0)+Oksar!C53*IF(Oversikt!$B$17="J",1,0)+Mellomkalv!C53*IF(Oversikt!$B$18="J",1,0)+Ammekyr!C58*IF(Oversikt!$B$19="J",1,0)+Sau!C64*IF(Oversikt!$B$23="J",1,0)+Geit!C52*IF(Oversikt!$B$24="J",1,0)</t>
        </is>
      </c>
    </row>
    <row r="42">
      <c r="A42" s="20" t="inlineStr">
        <is>
          <t>DB grovfôrbaserte husdyr m/tilskot</t>
        </is>
      </c>
      <c r="B42" s="21" t="inlineStr">
        <is>
          <t>Utrekna</t>
        </is>
      </c>
      <c r="C42" s="22">
        <f>'Mjølk'!C57*IF(Oversikt!$B$16="J",1,0)+Oksar!C54*IF(Oversikt!$B$17="J",1,0)+Mellomkalv!C54*IF(Oversikt!$B$18="J",1,0)+Ammekyr!C59*IF(Oversikt!$B$19="J",1,0)+Sau!C65*IF(Oversikt!$B$23="J",1,0)+Geit!C53*IF(Oversikt!$B$24="J",1,0)</f>
        <v/>
      </c>
      <c r="D42" s="12" t="inlineStr">
        <is>
          <t>kr</t>
        </is>
      </c>
      <c r="E42" s="23" t="inlineStr">
        <is>
          <t>DB grovfôrbaserte husdyr m/tilskot = Dekningsbidrag (DB) med tilskot [Mjølk!C57] × Med i totalen Mjølk [Oversikt!B16 → 1/0] + Dekningsbidrag (DB) med tilskot [Oksar!C54] × Med i totalen Oksar [Oversikt!B17 → 1/0] + Dekningsbidrag (DB) med tilskot [Mellomkalv!C54] × Med i totalen Mellomkalv [Oversikt!B18 → 1/0] + Dekningsbidrag (DB) med tilskot [Ammekyr!C59] × Med i totalen Ammekyr [Oversikt!B19 → 1/0] + Dekningsbidrag (DB) med tilskot [Sau!C65] × Med i totalen Sau [Oversikt!B23 → 1/0] + Dekningsbidrag (DB) med tilskot [Geit!C53] × Med i totalen Geit [Oversikt!B24 → 1/0]</t>
        </is>
      </c>
      <c r="F42" s="24" t="inlineStr">
        <is>
          <t>='Mjølk'!C57*IF(Oversikt!$B$16="J",1,0)+Oksar!C54*IF(Oversikt!$B$17="J",1,0)+Mellomkalv!C54*IF(Oversikt!$B$18="J",1,0)+Ammekyr!C59*IF(Oversikt!$B$19="J",1,0)+Sau!C65*IF(Oversikt!$B$23="J",1,0)+Geit!C53*IF(Oversikt!$B$24="J",1,0)</t>
        </is>
      </c>
    </row>
    <row r="43">
      <c r="A43" s="18" t="inlineStr">
        <is>
          <t>4b. UTREKNING – Arealbehov etter fôrnorm (kontroll av grovfôrbalansen)</t>
        </is>
      </c>
      <c r="B43" s="19" t="n"/>
      <c r="C43" s="19" t="n"/>
      <c r="D43" s="19" t="n"/>
      <c r="E43" s="19" t="n"/>
      <c r="F43" s="19" t="n"/>
    </row>
    <row r="44">
      <c r="A44" s="20" t="inlineStr">
        <is>
          <t>Arealbehov etter fôrnorm – Mjølk</t>
        </is>
      </c>
      <c r="B44" s="21" t="inlineStr">
        <is>
          <t>Utrekna</t>
        </is>
      </c>
      <c r="C44" s="36">
        <f>'Mjølk'!C7*('Mjølk'!C17/625+'Mjølk'!C18/650)*IF(Oversikt!$B$16="J",1,0)</f>
        <v/>
      </c>
      <c r="D44" s="12" t="inlineStr">
        <is>
          <t>da</t>
        </is>
      </c>
      <c r="E44" s="23" t="inlineStr">
        <is>
          <t>Arealbehov etter fôrnorm – Mjølk = Tal årskyr [Mjølk!C7] × (Fôrnorm beite (FEm) [Mjølk!C17] / 625 + Fôrnorm eige grovfôr vinter (FEm) [Mjølk!C18] / 650) × Med i totalen Mjølk [Oversikt!B16 → 1/0]   (Beite 250 FEm/da delt på 2,5 og eige grovfôr 650 FEm/da – same omrekning som korrigert areal)</t>
        </is>
      </c>
      <c r="F44" s="24" t="inlineStr">
        <is>
          <t>='Mjølk'!C7*('Mjølk'!C17/625+'Mjølk'!C18/650)*IF(Oversikt!$B$16="J",1,0)</t>
        </is>
      </c>
    </row>
    <row r="45">
      <c r="A45" s="20" t="inlineStr">
        <is>
          <t>Arealbehov etter fôrnorm – Oksar</t>
        </is>
      </c>
      <c r="B45" s="21" t="inlineStr">
        <is>
          <t>Utrekna</t>
        </is>
      </c>
      <c r="C45" s="36">
        <f>Oksar!C7*(Oksar!C16/625+Oksar!C17/650)*IF(Oversikt!$B$17="J",1,0)</f>
        <v/>
      </c>
      <c r="D45" s="12" t="inlineStr">
        <is>
          <t>da</t>
        </is>
      </c>
      <c r="E45" s="23" t="inlineStr">
        <is>
          <t>Arealbehov etter fôrnorm – Oksar = Tal produserte oksar [Oksar!C7] × (Fôrnorm beite (FEm) [Oksar!C16] / 625 + Fôrnorm eige grovfôr vinter (FEm) [Oksar!C17] / 650) × Med i totalen Oksar [Oversikt!B17 → 1/0]   (Beite 250 FEm/da delt på 2,5 og eige grovfôr 650 FEm/da – same omrekning som korrigert areal)</t>
        </is>
      </c>
      <c r="F45" s="24" t="inlineStr">
        <is>
          <t>=Oksar!C7*(Oksar!C16/625+Oksar!C17/650)*IF(Oversikt!$B$17="J",1,0)</t>
        </is>
      </c>
    </row>
    <row r="46">
      <c r="A46" s="20" t="inlineStr">
        <is>
          <t>Arealbehov etter fôrnorm – Mellomkalv</t>
        </is>
      </c>
      <c r="B46" s="21" t="inlineStr">
        <is>
          <t>Utrekna</t>
        </is>
      </c>
      <c r="C46" s="36">
        <f>Mellomkalv!C7*(Mellomkalv!C16/625+Mellomkalv!C17/650)*IF(Oversikt!$B$18="J",1,0)</f>
        <v/>
      </c>
      <c r="D46" s="12" t="inlineStr">
        <is>
          <t>da</t>
        </is>
      </c>
      <c r="E46" s="23" t="inlineStr">
        <is>
          <t>Arealbehov etter fôrnorm – Mellomkalv = Tal produserte kalvar [Mellomkalv!C7] × (Fôrnorm beite (FEm) [Mellomkalv!C16] / 625 + Fôrnorm eige grovfôr vinter (FEm) [Mellomkalv!C17] / 650) × Med i totalen Mellomkalv [Oversikt!B18 → 1/0]   (Beite 250 FEm/da delt på 2,5 og eige grovfôr 650 FEm/da – same omrekning som korrigert areal)</t>
        </is>
      </c>
      <c r="F46" s="24" t="inlineStr">
        <is>
          <t>=Mellomkalv!C7*(Mellomkalv!C16/625+Mellomkalv!C17/650)*IF(Oversikt!$B$18="J",1,0)</t>
        </is>
      </c>
    </row>
    <row r="47">
      <c r="A47" s="20" t="inlineStr">
        <is>
          <t>Arealbehov etter fôrnorm – Ammekyr</t>
        </is>
      </c>
      <c r="B47" s="21" t="inlineStr">
        <is>
          <t>Utrekna</t>
        </is>
      </c>
      <c r="C47" s="36">
        <f>Ammekyr!C7*(Ammekyr!C21/625+Ammekyr!C22/650)*IF(Oversikt!$B$19="J",1,0)</f>
        <v/>
      </c>
      <c r="D47" s="12" t="inlineStr">
        <is>
          <t>da</t>
        </is>
      </c>
      <c r="E47" s="23" t="inlineStr">
        <is>
          <t>Arealbehov etter fôrnorm – Ammekyr = Tal ammekyr [Ammekyr!C7] × (Fôrnorm beite (FEm) [Ammekyr!C21] / 625 + Fôrnorm eige grovfôr vinter (FEm) [Ammekyr!C22] / 650) × Med i totalen Ammekyr [Oversikt!B19 → 1/0]   (Beite 250 FEm/da delt på 2,5 og eige grovfôr 650 FEm/da – same omrekning som korrigert areal)</t>
        </is>
      </c>
      <c r="F47" s="24" t="inlineStr">
        <is>
          <t>=Ammekyr!C7*(Ammekyr!C21/625+Ammekyr!C22/650)*IF(Oversikt!$B$19="J",1,0)</t>
        </is>
      </c>
    </row>
    <row r="48">
      <c r="A48" s="20" t="inlineStr">
        <is>
          <t>Arealbehov etter fôrnorm – Sau</t>
        </is>
      </c>
      <c r="B48" s="21" t="inlineStr">
        <is>
          <t>Utrekna</t>
        </is>
      </c>
      <c r="C48" s="36">
        <f>Sau!C7*(Sau!C25/625+Sau!C26/650)*IF(Oversikt!$B$23="J",1,0)</f>
        <v/>
      </c>
      <c r="D48" s="12" t="inlineStr">
        <is>
          <t>da</t>
        </is>
      </c>
      <c r="E48" s="23" t="inlineStr">
        <is>
          <t>Arealbehov etter fôrnorm – Sau = Tal vinterfôra sau [Sau!C7] × (Fôrnorm beite (FEm) [Sau!C25] / 625 + Fôrnorm eige grovfôr vinter (FEm) [Sau!C26] / 650) × Med i totalen Sau [Oversikt!B23 → 1/0]   (Beite 250 FEm/da delt på 2,5 og eige grovfôr 650 FEm/da – same omrekning som korrigert areal)</t>
        </is>
      </c>
      <c r="F48" s="24" t="inlineStr">
        <is>
          <t>=Sau!C7*(Sau!C25/625+Sau!C26/650)*IF(Oversikt!$B$23="J",1,0)</t>
        </is>
      </c>
    </row>
    <row r="49">
      <c r="A49" s="20" t="inlineStr">
        <is>
          <t>Arealbehov etter fôrnorm – Geit</t>
        </is>
      </c>
      <c r="B49" s="21" t="inlineStr">
        <is>
          <t>Utrekna</t>
        </is>
      </c>
      <c r="C49" s="36">
        <f>Geit!C7*(Geit!C14/625+Geit!C15/650)*IF(Oversikt!$B$24="J",1,0)</f>
        <v/>
      </c>
      <c r="D49" s="12" t="inlineStr">
        <is>
          <t>da</t>
        </is>
      </c>
      <c r="E49" s="23" t="inlineStr">
        <is>
          <t>Arealbehov etter fôrnorm – Geit = Tal årsgeiter [Geit!C7] × (Fôrnorm beite (FEm) [Geit!C14] / 625 + Fôrnorm eige grovfôr vinter (FEm) [Geit!C15] / 650) × Med i totalen Geit [Oversikt!B24 → 1/0]   (Beite 250 FEm/da delt på 2,5 og eige grovfôr 650 FEm/da – same omrekning som korrigert areal)</t>
        </is>
      </c>
      <c r="F49" s="24" t="inlineStr">
        <is>
          <t>=Geit!C7*(Geit!C14/625+Geit!C15/650)*IF(Oversikt!$B$24="J",1,0)</t>
        </is>
      </c>
    </row>
    <row r="50">
      <c r="A50" s="20" t="inlineStr">
        <is>
          <t>Sum arealbehov etter fôrnorm</t>
        </is>
      </c>
      <c r="B50" s="21" t="inlineStr">
        <is>
          <t>Utrekna</t>
        </is>
      </c>
      <c r="C50" s="36">
        <f>C44+C45+C46+C47+C48+C49</f>
        <v/>
      </c>
      <c r="D50" s="12" t="inlineStr">
        <is>
          <t>da</t>
        </is>
      </c>
      <c r="E50" s="23" t="inlineStr">
        <is>
          <t>Sum arealbehov etter fôrnorm = Arealbehov etter fôrnorm – Mjølk [C44] + Arealbehov etter fôrnorm – Oksar [C45] + Arealbehov etter fôrnorm – Mellomkalv [C46] + Arealbehov etter fôrnorm – Ammekyr [C47] + Arealbehov etter fôrnorm – Sau [C48] + Arealbehov etter fôrnorm – Geit [C49]</t>
        </is>
      </c>
      <c r="F50" s="24" t="inlineStr">
        <is>
          <t>=C44+C45+C46+C47+C48+C49</t>
        </is>
      </c>
    </row>
    <row r="51">
      <c r="A51" s="18" t="inlineStr">
        <is>
          <t>5. OUTPUT – Nøkkeltal grovfôr</t>
        </is>
      </c>
      <c r="B51" s="19" t="n"/>
      <c r="C51" s="19" t="n"/>
      <c r="D51" s="19" t="n"/>
      <c r="E51" s="19" t="n"/>
      <c r="F51" s="19" t="n"/>
    </row>
    <row r="52">
      <c r="A52" s="25" t="inlineStr">
        <is>
          <t>Variabel grovfôrkostnad pr korrigert dekar</t>
        </is>
      </c>
      <c r="B52" s="26" t="inlineStr">
        <is>
          <t>Utrekna</t>
        </is>
      </c>
      <c r="C52" s="39">
        <f>IF((C21)=0,0,(C39)/(C21))</f>
        <v/>
      </c>
      <c r="D52" s="28" t="inlineStr">
        <is>
          <t>kr</t>
        </is>
      </c>
      <c r="E52" s="29" t="inlineStr">
        <is>
          <t>Variabel grovfôrkostnad pr korrigert dekar = Sum variabel grovfôrkostnad (utan plast) [C39] ÷ Korrigert grovfôrareal (overflate/1,25 + fulldyrka + kulturbeite/2,5) [C21]</t>
        </is>
      </c>
      <c r="F52" s="30" t="inlineStr">
        <is>
          <t>=IF((C21)=0,0,(C39)/(C21))</t>
        </is>
      </c>
    </row>
    <row r="53">
      <c r="A53" s="25" t="inlineStr">
        <is>
          <t>Maskinkostnader pr dekar grovfôr</t>
        </is>
      </c>
      <c r="B53" s="26" t="inlineStr">
        <is>
          <t>Utrekna</t>
        </is>
      </c>
      <c r="C53" s="39">
        <f>IF((C20)=0,0,(C40)/(C20))</f>
        <v/>
      </c>
      <c r="D53" s="28" t="inlineStr">
        <is>
          <t>kr</t>
        </is>
      </c>
      <c r="E53" s="29" t="inlineStr">
        <is>
          <t>Maskinkostnader pr dekar grovfôr = Maskinkostnader i grovfôrproduksjonane [C40] ÷ Dekar grovfôr – maskinkostnadsgrunnlag (overflate/2 + fulldyrka + kulturbeite×10 %) [C20]</t>
        </is>
      </c>
      <c r="F53" s="30" t="inlineStr">
        <is>
          <t>=IF((C20)=0,0,(C40)/(C20))</t>
        </is>
      </c>
    </row>
    <row r="54">
      <c r="A54" s="25" t="inlineStr">
        <is>
          <t>Korrigerte dekar pr «kueining»</t>
        </is>
      </c>
      <c r="B54" s="26" t="inlineStr">
        <is>
          <t>Utrekna</t>
        </is>
      </c>
      <c r="C54" s="39">
        <f>IF((C31)=0,0,(C21)/(C31))</f>
        <v/>
      </c>
      <c r="D54" s="28" t="inlineStr">
        <is>
          <t>da</t>
        </is>
      </c>
      <c r="E54" s="29" t="inlineStr">
        <is>
          <t>Korrigerte dekar pr «kueining» = Korrigert grovfôrareal (overflate/1,25 + fulldyrka + kulturbeite/2,5) [C21] ÷ Sum «kueiningar» [C31]</t>
        </is>
      </c>
      <c r="F54" s="30" t="inlineStr">
        <is>
          <t>=IF((C31)=0,0,(C21)/(C31))</t>
        </is>
      </c>
    </row>
    <row r="55">
      <c r="A55" s="25" t="inlineStr">
        <is>
          <t>Dekar fulldyrka pr «kueining»</t>
        </is>
      </c>
      <c r="B55" s="26" t="inlineStr">
        <is>
          <t>Utrekna</t>
        </is>
      </c>
      <c r="C55" s="39">
        <f>IF((C31)=0,0,(C18)/(C31))</f>
        <v/>
      </c>
      <c r="D55" s="28" t="inlineStr">
        <is>
          <t>da</t>
        </is>
      </c>
      <c r="E55" s="29" t="inlineStr">
        <is>
          <t>Dekar fulldyrka pr «kueining» = Fulldyrka til eigen grovfôrbasert husdyrproduksjon [C18] ÷ Sum «kueiningar» [C31]</t>
        </is>
      </c>
      <c r="F55" s="30" t="inlineStr">
        <is>
          <t>=IF((C31)=0,0,(C18)/(C31))</t>
        </is>
      </c>
    </row>
    <row r="56">
      <c r="A56" s="25" t="inlineStr">
        <is>
          <t>Dekar kulturbeite pr «kueining»</t>
        </is>
      </c>
      <c r="B56" s="26" t="inlineStr">
        <is>
          <t>Utrekna</t>
        </is>
      </c>
      <c r="C56" s="39">
        <f>IF((C31)=0,0,(C19)/(C31))</f>
        <v/>
      </c>
      <c r="D56" s="28" t="inlineStr">
        <is>
          <t>da</t>
        </is>
      </c>
      <c r="E56" s="29" t="inlineStr">
        <is>
          <t>Dekar kulturbeite pr «kueining» = Kulturbeite til eige bruk [C19] ÷ Sum «kueiningar» [C31]</t>
        </is>
      </c>
      <c r="F56" s="30" t="inlineStr">
        <is>
          <t>=IF((C31)=0,0,(C19)/(C31))</t>
        </is>
      </c>
    </row>
    <row r="57">
      <c r="A57" s="25" t="inlineStr">
        <is>
          <t>FEm frå utmark pr «kueining»</t>
        </is>
      </c>
      <c r="B57" s="26" t="inlineStr">
        <is>
          <t>Utrekna</t>
        </is>
      </c>
      <c r="C57" s="27">
        <f>IF((C31)=0,0,(C22)/(C31))</f>
        <v/>
      </c>
      <c r="D57" s="28" t="inlineStr">
        <is>
          <t>FEm</t>
        </is>
      </c>
      <c r="E57" s="29" t="inlineStr">
        <is>
          <t>FEm frå utmark pr «kueining» = Fôreiningar (FEm) henta frå utmark [C22] ÷ Sum «kueiningar» [C31]</t>
        </is>
      </c>
      <c r="F57" s="30" t="inlineStr">
        <is>
          <t>=IF((C31)=0,0,(C22)/(C31))</t>
        </is>
      </c>
    </row>
    <row r="58">
      <c r="A58" s="25" t="inlineStr">
        <is>
          <t>DB grovfôrbaserte husdyr u/tilskot pr korrigert dekar</t>
        </is>
      </c>
      <c r="B58" s="26" t="inlineStr">
        <is>
          <t>Utrekna</t>
        </is>
      </c>
      <c r="C58" s="39">
        <f>IF((C21)=0,0,(C41)/(C21))</f>
        <v/>
      </c>
      <c r="D58" s="28" t="inlineStr">
        <is>
          <t>kr</t>
        </is>
      </c>
      <c r="E58" s="29" t="inlineStr">
        <is>
          <t>DB grovfôrbaserte husdyr u/tilskot pr korrigert dekar = DB grovfôrbaserte husdyr u/tilskot [C41] ÷ Korrigert grovfôrareal (overflate/1,25 + fulldyrka + kulturbeite/2,5) [C21]</t>
        </is>
      </c>
      <c r="F58" s="30" t="inlineStr">
        <is>
          <t>=IF((C21)=0,0,(C41)/(C21))</t>
        </is>
      </c>
    </row>
    <row r="59">
      <c r="A59" s="25" t="inlineStr">
        <is>
          <t>DB grovfôrbaserte husdyr m/tilskot pr korrigert dekar</t>
        </is>
      </c>
      <c r="B59" s="26" t="inlineStr">
        <is>
          <t>Utrekna</t>
        </is>
      </c>
      <c r="C59" s="39">
        <f>IF((C21)=0,0,(C42)/(C21))</f>
        <v/>
      </c>
      <c r="D59" s="28" t="inlineStr">
        <is>
          <t>kr</t>
        </is>
      </c>
      <c r="E59" s="29" t="inlineStr">
        <is>
          <t>DB grovfôrbaserte husdyr m/tilskot pr korrigert dekar = DB grovfôrbaserte husdyr m/tilskot [C42] ÷ Korrigert grovfôrareal (overflate/1,25 + fulldyrka + kulturbeite/2,5) [C21]</t>
        </is>
      </c>
      <c r="F59" s="30" t="inlineStr">
        <is>
          <t>=IF((C21)=0,0,(C42)/(C21))</t>
        </is>
      </c>
    </row>
    <row r="60">
      <c r="A60" s="25" t="inlineStr">
        <is>
          <t>Korrigert grovfôrareal i % av arealbehov etter fôrnorm</t>
        </is>
      </c>
      <c r="B60" s="26" t="inlineStr">
        <is>
          <t>Utrekna</t>
        </is>
      </c>
      <c r="C60" s="33">
        <f>IF((C50)=0,0,(C21)/(C50))</f>
        <v/>
      </c>
      <c r="D60" s="28" t="inlineStr">
        <is>
          <t>%</t>
        </is>
      </c>
      <c r="E60" s="29" t="inlineStr">
        <is>
          <t>Korrigert grovfôrareal i % av arealbehov etter fôrnorm = Korrigert grovfôrareal (overflate/1,25 + fulldyrka + kulturbeite/2,5) [C21] ÷ Sum arealbehov etter fôrnorm [C50]   (Under 100 % tyder på kjøpt fôr eller høge avlingar, over 100 % på overskot av areal)</t>
        </is>
      </c>
      <c r="F60" s="30" t="inlineStr">
        <is>
          <t>=IF((C50)=0,0,(C21)/(C50))</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20" t="inlineStr">
        <is>
          <t>Fôrnorm beite (FEm)</t>
        </is>
      </c>
      <c r="B17" s="24" t="inlineStr">
        <is>
          <t>Fôrnorm pr årsku og år (jf. marginalanalysen). Brukt til arealbehov og fordelingsnøklar</t>
        </is>
      </c>
      <c r="C17" s="31" t="n">
        <v>2000</v>
      </c>
      <c r="D17" s="12" t="inlineStr">
        <is>
          <t>FEm</t>
        </is>
      </c>
      <c r="E17" s="24" t="inlineStr">
        <is>
          <t>Input. Hentast frå: Fôrnorm pr årsku og år (jf. marginalanalysen). Brukt til arealbehov og fordelingsnøklar.</t>
        </is>
      </c>
      <c r="F17" s="32" t="n"/>
    </row>
    <row r="18">
      <c r="A18" s="20" t="inlineStr">
        <is>
          <t>Fôrnorm eige grovfôr vinter (FEm)</t>
        </is>
      </c>
      <c r="B18" s="24" t="inlineStr">
        <is>
          <t>Fôrnorm pr årsku og år (jf. marginalanalysen). Brukt til arealbehov og fordelingsnøklar</t>
        </is>
      </c>
      <c r="C18" s="31" t="n">
        <v>3500</v>
      </c>
      <c r="D18" s="12" t="inlineStr">
        <is>
          <t>FEm</t>
        </is>
      </c>
      <c r="E18" s="24" t="inlineStr">
        <is>
          <t>Input. Hentast frå: Fôrnorm pr årsku og år (jf. marginalanalysen). Brukt til arealbehov og fordelingsnøklar.</t>
        </is>
      </c>
      <c r="F18" s="32" t="n"/>
    </row>
    <row r="19">
      <c r="A19" s="20" t="inlineStr">
        <is>
          <t>Fôrnorm kraftfôr (FEm)</t>
        </is>
      </c>
      <c r="B19" s="24" t="inlineStr">
        <is>
          <t>Fôrnorm pr årsku og år (jf. marginalanalysen). Brukt til arealbehov og fordelingsnøklar</t>
        </is>
      </c>
      <c r="C19" s="31" t="n">
        <v>1800</v>
      </c>
      <c r="D19" s="12" t="inlineStr">
        <is>
          <t>FEm</t>
        </is>
      </c>
      <c r="E19" s="24" t="inlineStr">
        <is>
          <t>Input. Hentast frå: Fôrnorm pr årsku og år (jf. marginalanalysen). Brukt til arealbehov og fordelingsnøklar.</t>
        </is>
      </c>
      <c r="F19" s="32" t="n"/>
    </row>
    <row r="20">
      <c r="A20" s="18" t="inlineStr">
        <is>
          <t>2. INPUT – Rekneskapstal (kr) frå saldobalansen etter korrigeringar</t>
        </is>
      </c>
      <c r="B20" s="19" t="n"/>
      <c r="C20" s="19" t="n"/>
      <c r="D20" s="19" t="n"/>
      <c r="E20" s="19" t="n"/>
      <c r="F20" s="19" t="n"/>
    </row>
    <row r="21">
      <c r="A21" s="20" t="inlineStr">
        <is>
          <t>Produksjonstilskot fordelt på produksjonen</t>
        </is>
      </c>
      <c r="B21" s="24" t="inlineStr">
        <is>
          <t>34xx (ikkje 344x avløysartilskot)</t>
        </is>
      </c>
      <c r="C21" s="31" t="n">
        <v>520000</v>
      </c>
      <c r="D21" s="12" t="inlineStr">
        <is>
          <t>kr</t>
        </is>
      </c>
      <c r="E21" s="24" t="inlineStr">
        <is>
          <t>Input. Hentast frå: 34xx (ikkje 344x avløysartilskot).</t>
        </is>
      </c>
      <c r="F21" s="32" t="n"/>
    </row>
    <row r="22">
      <c r="A22" s="20" t="inlineStr">
        <is>
          <t>Mjølk</t>
        </is>
      </c>
      <c r="B22" s="24" t="inlineStr">
        <is>
          <t>3070-3073, 3163/3173 (.482)</t>
        </is>
      </c>
      <c r="C22" s="31" t="n">
        <v>1330000</v>
      </c>
      <c r="D22" s="12" t="inlineStr">
        <is>
          <t>kr</t>
        </is>
      </c>
      <c r="E22" s="24" t="inlineStr">
        <is>
          <t>Input. Hentast frå: 3070-3073, 3163/3173 (.482).</t>
        </is>
      </c>
      <c r="F22" s="32" t="n"/>
    </row>
    <row r="23">
      <c r="A23" s="20" t="inlineStr">
        <is>
          <t>Slakt</t>
        </is>
      </c>
      <c r="B23" s="24" t="inlineStr">
        <is>
          <t>3040-3049, 3162, 3172, 3078</t>
        </is>
      </c>
      <c r="C23" s="31" t="n">
        <v>210000</v>
      </c>
      <c r="D23" s="12" t="inlineStr">
        <is>
          <t>kr</t>
        </is>
      </c>
      <c r="E23" s="24" t="inlineStr">
        <is>
          <t>Input. Hentast frå: 3040-3049, 3162, 3172, 3078.</t>
        </is>
      </c>
      <c r="F23" s="32" t="n"/>
    </row>
    <row r="24">
      <c r="A24" s="20" t="inlineStr">
        <is>
          <t>Livdyrsal</t>
        </is>
      </c>
      <c r="B24" s="24" t="inlineStr">
        <is>
          <t>3050-3059</t>
        </is>
      </c>
      <c r="C24" s="31" t="n">
        <v>45000</v>
      </c>
      <c r="D24" s="12" t="inlineStr">
        <is>
          <t>kr</t>
        </is>
      </c>
      <c r="E24" s="24" t="inlineStr">
        <is>
          <t>Input. Hentast frå: 3050-3059.</t>
        </is>
      </c>
      <c r="F24" s="32" t="n"/>
    </row>
    <row r="25">
      <c r="A25" s="20" t="inlineStr">
        <is>
          <t>Buskap, beholdningsendring (+ = auke)</t>
        </is>
      </c>
      <c r="B25" s="24" t="inlineStr">
        <is>
          <t>4690-4698 (forteikn snudd)</t>
        </is>
      </c>
      <c r="C25" s="31" t="n">
        <v>15000</v>
      </c>
      <c r="D25" s="12" t="inlineStr">
        <is>
          <t>kr</t>
        </is>
      </c>
      <c r="E25" s="24" t="inlineStr">
        <is>
          <t>Input. Hentast frå: 4690-4698 (forteikn snudd).</t>
        </is>
      </c>
      <c r="F25" s="32" t="n"/>
    </row>
    <row r="26">
      <c r="A26" s="20" t="inlineStr">
        <is>
          <t>Andre inntekter</t>
        </is>
      </c>
      <c r="B26" s="24" t="inlineStr">
        <is>
          <t>andre 3xxx kopla til produksjonen</t>
        </is>
      </c>
      <c r="C26" s="31" t="n">
        <v>8000</v>
      </c>
      <c r="D26" s="12" t="inlineStr">
        <is>
          <t>kr</t>
        </is>
      </c>
      <c r="E26" s="24" t="inlineStr">
        <is>
          <t>Input. Hentast frå: andre 3xxx kopla til produksjonen.</t>
        </is>
      </c>
      <c r="F26" s="32" t="n"/>
    </row>
    <row r="27">
      <c r="A27" s="20" t="inlineStr">
        <is>
          <t>Herav distriktstilskot mjølk</t>
        </is>
      </c>
      <c r="B27" s="24" t="inlineStr">
        <is>
          <t>Del av mjølkeinntekta (avrekning)</t>
        </is>
      </c>
      <c r="C27" s="31" t="n">
        <v>22800</v>
      </c>
      <c r="D27" s="12" t="inlineStr">
        <is>
          <t>kr</t>
        </is>
      </c>
      <c r="E27" s="24" t="inlineStr">
        <is>
          <t>Input. Hentast frå: Del av mjølkeinntekta (avrekning). Er med i beløpet over, brukt berre til prisutrekning.</t>
        </is>
      </c>
      <c r="F27" s="32" t="n"/>
    </row>
    <row r="28">
      <c r="A28" s="20" t="inlineStr">
        <is>
          <t>Herav distriktstilskot kjøt</t>
        </is>
      </c>
      <c r="B28" s="24" t="inlineStr">
        <is>
          <t>3047 Slakt, distriktstilskot (del av slakteinntekta)</t>
        </is>
      </c>
      <c r="C28" s="31" t="n">
        <v>27300</v>
      </c>
      <c r="D28" s="12" t="inlineStr">
        <is>
          <t>kr</t>
        </is>
      </c>
      <c r="E28" s="24" t="inlineStr">
        <is>
          <t>Input. Hentast frå: 3047 Slakt, distriktstilskot (del av slakteinntekta). Er med i beløpet over, brukt berre til prisutrekning.</t>
        </is>
      </c>
      <c r="F28" s="32" t="n"/>
    </row>
    <row r="29">
      <c r="A29" s="18" t="inlineStr">
        <is>
          <t>Variable kostnader – eigen grovfôrproduksjon</t>
        </is>
      </c>
      <c r="B29" s="19" t="n"/>
      <c r="C29" s="19" t="n"/>
      <c r="D29" s="19" t="n"/>
      <c r="E29" s="19" t="n"/>
      <c r="F29" s="19" t="n"/>
    </row>
    <row r="30">
      <c r="A30" s="20" t="inlineStr">
        <is>
          <t>Såfrø / grasfrø</t>
        </is>
      </c>
      <c r="B30" s="24" t="inlineStr">
        <is>
          <t>4001</t>
        </is>
      </c>
      <c r="C30" s="31" t="n">
        <v>18000</v>
      </c>
      <c r="D30" s="12" t="inlineStr">
        <is>
          <t>kr</t>
        </is>
      </c>
      <c r="E30" s="24" t="inlineStr">
        <is>
          <t>Input. Hentast frå: 4001.</t>
        </is>
      </c>
      <c r="F30" s="32" t="n"/>
    </row>
    <row r="31">
      <c r="A31" s="20" t="inlineStr">
        <is>
          <t>Plantevernmiddel</t>
        </is>
      </c>
      <c r="B31" s="24" t="inlineStr">
        <is>
          <t>4110, 4191</t>
        </is>
      </c>
      <c r="C31" s="31" t="n">
        <v>6000</v>
      </c>
      <c r="D31" s="12" t="inlineStr">
        <is>
          <t>kr</t>
        </is>
      </c>
      <c r="E31" s="24" t="inlineStr">
        <is>
          <t>Input. Hentast frå: 4110, 4191.</t>
        </is>
      </c>
      <c r="F31" s="32" t="n"/>
    </row>
    <row r="32">
      <c r="A32" s="20" t="inlineStr">
        <is>
          <t>Rundballeplast mm.</t>
        </is>
      </c>
      <c r="B32" s="24" t="inlineStr">
        <is>
          <t>4140, 4194</t>
        </is>
      </c>
      <c r="C32" s="31" t="n">
        <v>32000</v>
      </c>
      <c r="D32" s="12" t="inlineStr">
        <is>
          <t>kr</t>
        </is>
      </c>
      <c r="E32" s="24" t="inlineStr">
        <is>
          <t>Input. Hentast frå: 4140, 4194.</t>
        </is>
      </c>
      <c r="F32" s="32" t="n"/>
    </row>
    <row r="33">
      <c r="A33" s="20" t="inlineStr">
        <is>
          <t>Handelsgjødsel</t>
        </is>
      </c>
      <c r="B33" s="24" t="inlineStr">
        <is>
          <t>4050, 4095</t>
        </is>
      </c>
      <c r="C33" s="31" t="n">
        <v>95000</v>
      </c>
      <c r="D33" s="12" t="inlineStr">
        <is>
          <t>kr</t>
        </is>
      </c>
      <c r="E33" s="24" t="inlineStr">
        <is>
          <t>Input. Hentast frå: 4050, 4095.</t>
        </is>
      </c>
      <c r="F33" s="32" t="n"/>
    </row>
    <row r="34">
      <c r="A34" s="20" t="inlineStr">
        <is>
          <t>Kalk</t>
        </is>
      </c>
      <c r="B34" s="24" t="inlineStr">
        <is>
          <t>4057</t>
        </is>
      </c>
      <c r="C34" s="31" t="n">
        <v>12000</v>
      </c>
      <c r="D34" s="12" t="inlineStr">
        <is>
          <t>kr</t>
        </is>
      </c>
      <c r="E34" s="24" t="inlineStr">
        <is>
          <t>Input. Hentast frå: 4057.</t>
        </is>
      </c>
      <c r="F34" s="32" t="n"/>
    </row>
    <row r="35">
      <c r="A35" s="20" t="inlineStr">
        <is>
          <t>Konserveringsmiddel</t>
        </is>
      </c>
      <c r="B35" s="24" t="inlineStr">
        <is>
          <t>4080, 4098</t>
        </is>
      </c>
      <c r="C35" s="31" t="n">
        <v>14000</v>
      </c>
      <c r="D35" s="12" t="inlineStr">
        <is>
          <t>kr</t>
        </is>
      </c>
      <c r="E35" s="24" t="inlineStr">
        <is>
          <t>Input. Hentast frå: 4080, 4098.</t>
        </is>
      </c>
      <c r="F35" s="32" t="n"/>
    </row>
    <row r="36">
      <c r="A36" s="20" t="inlineStr">
        <is>
          <t>Endring anna varelager (variable kostn.)</t>
        </is>
      </c>
      <c r="B36" s="24" t="inlineStr">
        <is>
          <t>4090</t>
        </is>
      </c>
      <c r="C36" s="31" t="n">
        <v>0</v>
      </c>
      <c r="D36" s="12" t="inlineStr">
        <is>
          <t>kr</t>
        </is>
      </c>
      <c r="E36" s="24" t="inlineStr">
        <is>
          <t>Input. Hentast frå: 4090.</t>
        </is>
      </c>
      <c r="F36" s="32" t="n"/>
    </row>
    <row r="37">
      <c r="A37" s="20" t="inlineStr">
        <is>
          <t>Endring eigenprodusert grovfôr (+ = nedgang i lager)</t>
        </is>
      </c>
      <c r="B37" s="24" t="inlineStr">
        <is>
          <t>4297</t>
        </is>
      </c>
      <c r="C37" s="31" t="n">
        <v>-10000</v>
      </c>
      <c r="D37" s="12" t="inlineStr">
        <is>
          <t>kr</t>
        </is>
      </c>
      <c r="E37" s="24" t="inlineStr">
        <is>
          <t>Input. Hentast frå: 4297.</t>
        </is>
      </c>
      <c r="F37" s="32" t="n"/>
    </row>
    <row r="38">
      <c r="A38" s="18" t="inlineStr">
        <is>
          <t>Variable kostnader – anna</t>
        </is>
      </c>
      <c r="B38" s="19" t="n"/>
      <c r="C38" s="19" t="n"/>
      <c r="D38" s="19" t="n"/>
      <c r="E38" s="19" t="n"/>
      <c r="F38" s="19" t="n"/>
    </row>
    <row r="39">
      <c r="A39" s="20" t="inlineStr">
        <is>
          <t>Kjøp grovfôr</t>
        </is>
      </c>
      <c r="B39" s="24" t="inlineStr">
        <is>
          <t>4030</t>
        </is>
      </c>
      <c r="C39" s="31" t="n">
        <v>20000</v>
      </c>
      <c r="D39" s="12" t="inlineStr">
        <is>
          <t>kr</t>
        </is>
      </c>
      <c r="E39" s="24" t="inlineStr">
        <is>
          <t>Input. Hentast frå: 4030.</t>
        </is>
      </c>
      <c r="F39" s="32" t="n"/>
    </row>
    <row r="40">
      <c r="A40" s="20" t="inlineStr">
        <is>
          <t>Beiteleige / dyr på beite</t>
        </is>
      </c>
      <c r="B40" s="24" t="inlineStr">
        <is>
          <t>4031</t>
        </is>
      </c>
      <c r="C40" s="31" t="n">
        <v>0</v>
      </c>
      <c r="D40" s="12" t="inlineStr">
        <is>
          <t>kr</t>
        </is>
      </c>
      <c r="E40" s="24" t="inlineStr">
        <is>
          <t>Input. Hentast frå: 4031.</t>
        </is>
      </c>
      <c r="F40" s="32" t="n"/>
    </row>
    <row r="41">
      <c r="A41" s="20" t="inlineStr">
        <is>
          <t>Endring innkjøpt grovfôrlager</t>
        </is>
      </c>
      <c r="B41" s="24" t="inlineStr">
        <is>
          <t>4093</t>
        </is>
      </c>
      <c r="C41" s="31" t="n">
        <v>0</v>
      </c>
      <c r="D41" s="12" t="inlineStr">
        <is>
          <t>kr</t>
        </is>
      </c>
      <c r="E41" s="24" t="inlineStr">
        <is>
          <t>Input. Hentast frå: 4093.</t>
        </is>
      </c>
      <c r="F41" s="32" t="n"/>
    </row>
    <row r="42">
      <c r="A42" s="20" t="inlineStr">
        <is>
          <t>Kraftfôr mm.</t>
        </is>
      </c>
      <c r="B42" s="24" t="inlineStr">
        <is>
          <t>4020-4029, 4040-4049, 4092, 4094</t>
        </is>
      </c>
      <c r="C42" s="31" t="n">
        <v>380000</v>
      </c>
      <c r="D42" s="12" t="inlineStr">
        <is>
          <t>kr</t>
        </is>
      </c>
      <c r="E42" s="24" t="inlineStr">
        <is>
          <t>Input. Hentast frå: 4020-4029, 4040-4049, 4092, 4094.</t>
        </is>
      </c>
      <c r="F42" s="32" t="n"/>
    </row>
    <row r="43">
      <c r="A43" s="20" t="inlineStr">
        <is>
          <t>Veterinær, medisin, semin mm.</t>
        </is>
      </c>
      <c r="B43" s="24" t="inlineStr">
        <is>
          <t>4120, 4192, 4520-4529</t>
        </is>
      </c>
      <c r="C43" s="31" t="n">
        <v>65000</v>
      </c>
      <c r="D43" s="12" t="inlineStr">
        <is>
          <t>kr</t>
        </is>
      </c>
      <c r="E43" s="24" t="inlineStr">
        <is>
          <t>Input. Hentast frå: 4120, 4192, 4520-4529.</t>
        </is>
      </c>
      <c r="F43" s="32" t="n"/>
    </row>
    <row r="44">
      <c r="A44" s="20" t="inlineStr">
        <is>
          <t>Innkjøp dyr</t>
        </is>
      </c>
      <c r="B44" s="24" t="inlineStr">
        <is>
          <t>4600-4689</t>
        </is>
      </c>
      <c r="C44" s="31" t="n">
        <v>0</v>
      </c>
      <c r="D44" s="12" t="inlineStr">
        <is>
          <t>kr</t>
        </is>
      </c>
      <c r="E44" s="24" t="inlineStr">
        <is>
          <t>Input. Hentast frå: 4600-4689.</t>
        </is>
      </c>
      <c r="F44" s="32" t="n"/>
    </row>
    <row r="45">
      <c r="A45" s="20" t="inlineStr">
        <is>
          <t>Andre variable kostnader</t>
        </is>
      </c>
      <c r="B45" s="24" t="inlineStr">
        <is>
          <t>4130-4139, 4193, 4530-4549, 4560-4569 + andre 4xxx</t>
        </is>
      </c>
      <c r="C45" s="31" t="n">
        <v>95000</v>
      </c>
      <c r="D45" s="12" t="inlineStr">
        <is>
          <t>kr</t>
        </is>
      </c>
      <c r="E45" s="24" t="inlineStr">
        <is>
          <t>Input. Hentast frå: 4130-4139, 4193, 4530-4549, 4560-4569 + andre 4xxx.</t>
        </is>
      </c>
      <c r="F45" s="32" t="n"/>
    </row>
    <row r="46">
      <c r="A46" s="18" t="inlineStr">
        <is>
          <t>3. INPUT – Fordelte faste kostnader (lenka frå arket «Faste kostnader»)</t>
        </is>
      </c>
      <c r="B46" s="19" t="n"/>
      <c r="C46" s="19" t="n"/>
      <c r="D46" s="19" t="n"/>
      <c r="E46" s="19" t="n"/>
      <c r="F46" s="19" t="n"/>
    </row>
    <row r="47">
      <c r="A47" s="20" t="inlineStr">
        <is>
          <t>Maskinkostnader fordelt</t>
        </is>
      </c>
      <c r="B47" s="21" t="inlineStr">
        <is>
          <t>Lenkje frå anna ark</t>
        </is>
      </c>
      <c r="C47" s="13">
        <f>'Faste kostnader'!C46</f>
        <v/>
      </c>
      <c r="D47" s="12" t="inlineStr">
        <is>
          <t>kr</t>
        </is>
      </c>
      <c r="E47" s="23" t="inlineStr">
        <is>
          <t>Maskinkostnader fordelt = Maskinkostnader – Mjølk [Faste kostnader!C46]</t>
        </is>
      </c>
      <c r="F47" s="24" t="inlineStr">
        <is>
          <t>='Faste kostnader'!C46</t>
        </is>
      </c>
    </row>
    <row r="48">
      <c r="A48" s="20" t="inlineStr">
        <is>
          <t>Innandørsmekanisering fordelt</t>
        </is>
      </c>
      <c r="B48" s="21" t="inlineStr">
        <is>
          <t>Lenkje frå anna ark</t>
        </is>
      </c>
      <c r="C48" s="13">
        <f>'Faste kostnader'!C65</f>
        <v/>
      </c>
      <c r="D48" s="12" t="inlineStr">
        <is>
          <t>kr</t>
        </is>
      </c>
      <c r="E48" s="23" t="inlineStr">
        <is>
          <t>Innandørsmekanisering fordelt = Innandørsmekanisering – Mjølk [Faste kostnader!C65]</t>
        </is>
      </c>
      <c r="F48" s="24" t="inlineStr">
        <is>
          <t>='Faste kostnader'!C65</t>
        </is>
      </c>
    </row>
    <row r="49">
      <c r="A49" s="18" t="inlineStr">
        <is>
          <t>4. UTREKNING – Totalt for produksjonen</t>
        </is>
      </c>
      <c r="B49" s="19" t="n"/>
      <c r="C49" s="19" t="n"/>
      <c r="D49" s="19" t="n"/>
      <c r="E49" s="19" t="n"/>
      <c r="F49" s="19" t="n"/>
    </row>
    <row r="50">
      <c r="A50" s="20" t="inlineStr">
        <is>
          <t>Produksjonsinntekter i alt</t>
        </is>
      </c>
      <c r="B50" s="21" t="inlineStr">
        <is>
          <t>Utrekna</t>
        </is>
      </c>
      <c r="C50" s="22">
        <f>C22+C23+C24+C25+C26</f>
        <v/>
      </c>
      <c r="D50" s="12" t="inlineStr">
        <is>
          <t>kr</t>
        </is>
      </c>
      <c r="E50" s="23" t="inlineStr">
        <is>
          <t>Produksjonsinntekter i alt = Mjølk [C22] + Slakt [C23] + Livdyrsal [C24] + Buskap, beholdningsendring (+ = auke) [C25] + Andre inntekter [C26]</t>
        </is>
      </c>
      <c r="F50" s="24" t="inlineStr">
        <is>
          <t>=C22+C23+C24+C25+C26</t>
        </is>
      </c>
    </row>
    <row r="51">
      <c r="A51" s="20" t="inlineStr">
        <is>
          <t>Eigen grovfôr – sum variable kostnader</t>
        </is>
      </c>
      <c r="B51" s="21" t="inlineStr">
        <is>
          <t>Utrekna</t>
        </is>
      </c>
      <c r="C51" s="22">
        <f>C30+C31+C32+C33+C34+C35+C36+C37</f>
        <v/>
      </c>
      <c r="D51" s="12" t="inlineStr">
        <is>
          <t>kr</t>
        </is>
      </c>
      <c r="E51" s="23" t="inlineStr">
        <is>
          <t>Eigen grovfôr – sum variable kostnader = Såfrø / grasfrø [C30] + Plantevernmiddel [C31] + Rundballeplast mm. [C32] + Handelsgjødsel [C33] + Kalk [C34] + Konserveringsmiddel [C35] + Endring anna varelager (variable kostn.) [C36] + Endring eigenprodusert grovfôr (+ = nedgang i lager) [C37]</t>
        </is>
      </c>
      <c r="F51" s="24" t="inlineStr">
        <is>
          <t>=C30+C31+C32+C33+C34+C35+C36+C37</t>
        </is>
      </c>
    </row>
    <row r="52">
      <c r="A52" s="20" t="inlineStr">
        <is>
          <t>Variabel grovfôrkostnad (utan plast og lagerendring eigenprodusert)</t>
        </is>
      </c>
      <c r="B52" s="21" t="inlineStr">
        <is>
          <t>Utrekna</t>
        </is>
      </c>
      <c r="C52" s="22">
        <f>C30+C31+C33+C34+C35+C36</f>
        <v/>
      </c>
      <c r="D52" s="12" t="inlineStr">
        <is>
          <t>kr</t>
        </is>
      </c>
      <c r="E52" s="23" t="inlineStr">
        <is>
          <t>Variabel grovfôrkostnad (utan plast og lagerendring eigenprodusert) = Såfrø / grasfrø [C30] + Plantevernmiddel [C31] + Handelsgjødsel [C33] + Kalk [C34] + Konserveringsmiddel [C35] + Endring anna varelager (variable kostn.) [C36]   (Brukt i «Variabel grovfôrkostnad pr dekar» – same utval som eksempelanalysen)</t>
        </is>
      </c>
      <c r="F52" s="24" t="inlineStr">
        <is>
          <t>=C30+C31+C33+C34+C35+C36</t>
        </is>
      </c>
    </row>
    <row r="53">
      <c r="A53" s="20" t="inlineStr">
        <is>
          <t>Sum eigen grovfôrproduksjon (utan lagerendring)</t>
        </is>
      </c>
      <c r="B53" s="21" t="inlineStr">
        <is>
          <t>Utrekna</t>
        </is>
      </c>
      <c r="C53" s="22">
        <f>C51-C37</f>
        <v/>
      </c>
      <c r="D53" s="12" t="inlineStr">
        <is>
          <t>kr</t>
        </is>
      </c>
      <c r="E53" s="23" t="inlineStr">
        <is>
          <t>Sum eigen grovfôrproduksjon (utan lagerendring) = Eigen grovfôr – sum variable kostnader [C51] − Endring eigenprodusert grovfôr (+ = nedgang i lager) [C37]   (Brukt til å fordele grovfôrarealet mellom produksjonane)</t>
        </is>
      </c>
      <c r="F53" s="24" t="inlineStr">
        <is>
          <t>=C51-C37</t>
        </is>
      </c>
    </row>
    <row r="54">
      <c r="A54" s="20" t="inlineStr">
        <is>
          <t>Grovfôr – kostnad i alt</t>
        </is>
      </c>
      <c r="B54" s="21" t="inlineStr">
        <is>
          <t>Utrekna</t>
        </is>
      </c>
      <c r="C54" s="22">
        <f>C51+C39+C41</f>
        <v/>
      </c>
      <c r="D54" s="12" t="inlineStr">
        <is>
          <t>kr</t>
        </is>
      </c>
      <c r="E54" s="23" t="inlineStr">
        <is>
          <t>Grovfôr – kostnad i alt = Eigen grovfôr – sum variable kostnader [C51] + Kjøp grovfôr [C39] + Endring innkjøpt grovfôrlager [C41]</t>
        </is>
      </c>
      <c r="F54" s="24" t="inlineStr">
        <is>
          <t>=C51+C39+C41</t>
        </is>
      </c>
    </row>
    <row r="55">
      <c r="A55" s="20" t="inlineStr">
        <is>
          <t>Variable kostnader i alt</t>
        </is>
      </c>
      <c r="B55" s="21" t="inlineStr">
        <is>
          <t>Utrekna</t>
        </is>
      </c>
      <c r="C55" s="22">
        <f>C54+C40+C42+C43+C44+C45</f>
        <v/>
      </c>
      <c r="D55" s="12" t="inlineStr">
        <is>
          <t>kr</t>
        </is>
      </c>
      <c r="E55" s="23" t="inlineStr">
        <is>
          <t>Variable kostnader i alt = Grovfôr – kostnad i alt [C54] + Beiteleige / dyr på beite [C40] + Kraftfôr mm. [C42] + Veterinær, medisin, semin mm. [C43] + Innkjøp dyr [C44] + Andre variable kostnader [C45]</t>
        </is>
      </c>
      <c r="F55" s="24" t="inlineStr">
        <is>
          <t>=C54+C40+C42+C43+C44+C45</t>
        </is>
      </c>
    </row>
    <row r="56">
      <c r="A56" s="25" t="inlineStr">
        <is>
          <t>Dekningsbidrag (DB) utan tilskot</t>
        </is>
      </c>
      <c r="B56" s="26" t="inlineStr">
        <is>
          <t>Utrekna</t>
        </is>
      </c>
      <c r="C56" s="27">
        <f>C50-C55</f>
        <v/>
      </c>
      <c r="D56" s="28" t="inlineStr">
        <is>
          <t>kr</t>
        </is>
      </c>
      <c r="E56" s="29" t="inlineStr">
        <is>
          <t>Dekningsbidrag (DB) utan tilskot = Produksjonsinntekter i alt [C50] − Variable kostnader i alt [C55]</t>
        </is>
      </c>
      <c r="F56" s="30" t="inlineStr">
        <is>
          <t>=C50-C55</t>
        </is>
      </c>
    </row>
    <row r="57">
      <c r="A57" s="25" t="inlineStr">
        <is>
          <t>Dekningsbidrag (DB) med tilskot</t>
        </is>
      </c>
      <c r="B57" s="26" t="inlineStr">
        <is>
          <t>Utrekna</t>
        </is>
      </c>
      <c r="C57" s="27">
        <f>C56+C21</f>
        <v/>
      </c>
      <c r="D57" s="28" t="inlineStr">
        <is>
          <t>kr</t>
        </is>
      </c>
      <c r="E57" s="29" t="inlineStr">
        <is>
          <t>Dekningsbidrag (DB) med tilskot = Dekningsbidrag (DB) utan tilskot [C56] + Produksjonstilskot fordelt på produksjonen [C21]</t>
        </is>
      </c>
      <c r="F57" s="30" t="inlineStr">
        <is>
          <t>=C56+C21</t>
        </is>
      </c>
    </row>
    <row r="58">
      <c r="A58" s="20" t="inlineStr">
        <is>
          <t>DB m/tilskot etter maskin- og innandørskostnad</t>
        </is>
      </c>
      <c r="B58" s="21" t="inlineStr">
        <is>
          <t>Utrekna</t>
        </is>
      </c>
      <c r="C58" s="22">
        <f>C57-C47-C48</f>
        <v/>
      </c>
      <c r="D58" s="12" t="inlineStr">
        <is>
          <t>kr</t>
        </is>
      </c>
      <c r="E58" s="23" t="inlineStr">
        <is>
          <t>DB m/tilskot etter maskin- og innandørskostnad = Dekningsbidrag (DB) med tilskot [C57] − Maskinkostnader fordelt [C47] − Innandørsmekanisering fordelt [C48]</t>
        </is>
      </c>
      <c r="F58" s="24" t="inlineStr">
        <is>
          <t>=C57-C47-C48</t>
        </is>
      </c>
    </row>
    <row r="59">
      <c r="A59" s="20" t="inlineStr">
        <is>
          <t>«Kueiningar»</t>
        </is>
      </c>
      <c r="B59" s="21" t="inlineStr">
        <is>
          <t>Utrekna</t>
        </is>
      </c>
      <c r="C59" s="38">
        <f>((C11+C12)+(C13+C14)/4+(C15+C16)/8)/2</f>
        <v/>
      </c>
      <c r="D59" s="12" t="inlineStr">
        <is>
          <t>stk</t>
        </is>
      </c>
      <c r="E59" s="23" t="inlineStr">
        <is>
          <t>«Kueiningar» = ((Kyr pr 1.1. [C11] + Kyr pr 31.12. [C12]) + (Kviger/oksar over 12 md pr 1.1. [C13] + Kviger/oksar over 12 md pr 31.12. [C14]) / 4 + (Kalvar/ungdyr under 12 md pr 1.1. [C15] + Kalvar/ungdyr under 12 md pr 31.12. [C16]) / 8) / 2   (Vekting av dyretal (snitt 1.1. og 31.12.) – sjå formel)</t>
        </is>
      </c>
      <c r="F59" s="24" t="inlineStr">
        <is>
          <t>=((C11+C12)+(C13+C14)/4+(C15+C16)/8)/2</t>
        </is>
      </c>
    </row>
    <row r="60">
      <c r="A60" s="20" t="inlineStr">
        <is>
          <t>Påsettprosent</t>
        </is>
      </c>
      <c r="B60" s="21" t="inlineStr">
        <is>
          <t>Utrekna</t>
        </is>
      </c>
      <c r="C60" s="35">
        <f>IF((C11+C12)=0,0,((C13+C14+C15+C16)/2)/(C11+C12))</f>
        <v/>
      </c>
      <c r="D60" s="12" t="inlineStr">
        <is>
          <t>%</t>
        </is>
      </c>
      <c r="E60"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60" s="24" t="inlineStr">
        <is>
          <t>=IF((C11+C12)=0,0,((C13+C14+C15+C16)/2)/(C11+C12))</t>
        </is>
      </c>
    </row>
    <row r="61">
      <c r="A61" s="18" t="inlineStr">
        <is>
          <t>5. OUTPUT – Per eining (pr årsku)</t>
        </is>
      </c>
      <c r="B61" s="19" t="n"/>
      <c r="C61" s="19" t="n"/>
      <c r="D61" s="19" t="n"/>
      <c r="E61" s="19" t="n"/>
      <c r="F61" s="19" t="n"/>
    </row>
    <row r="62">
      <c r="A62" s="18" t="inlineStr">
        <is>
          <t>Produksjonsinntekter pr årsku</t>
        </is>
      </c>
      <c r="B62" s="19" t="n"/>
      <c r="C62" s="19" t="n"/>
      <c r="D62" s="19" t="n"/>
      <c r="E62" s="19" t="n"/>
      <c r="F62" s="19" t="n"/>
    </row>
    <row r="63">
      <c r="A63" s="20" t="inlineStr">
        <is>
          <t>Mjølk</t>
        </is>
      </c>
      <c r="B63" s="21" t="inlineStr">
        <is>
          <t>Utrekna</t>
        </is>
      </c>
      <c r="C63" s="38">
        <f>IF((C7)=0,0,(C22)/(C7))</f>
        <v/>
      </c>
      <c r="D63" s="12" t="inlineStr">
        <is>
          <t>kr</t>
        </is>
      </c>
      <c r="E63" s="23" t="inlineStr">
        <is>
          <t>Mjølk = Mjølk [C22] ÷ Tal årskyr [C7]</t>
        </is>
      </c>
      <c r="F63" s="24" t="inlineStr">
        <is>
          <t>=IF((C7)=0,0,(C22)/(C7))</t>
        </is>
      </c>
    </row>
    <row r="64">
      <c r="A64" s="20" t="inlineStr">
        <is>
          <t>Slakt</t>
        </is>
      </c>
      <c r="B64" s="21" t="inlineStr">
        <is>
          <t>Utrekna</t>
        </is>
      </c>
      <c r="C64" s="38">
        <f>IF((C7)=0,0,(C23)/(C7))</f>
        <v/>
      </c>
      <c r="D64" s="12" t="inlineStr">
        <is>
          <t>kr</t>
        </is>
      </c>
      <c r="E64" s="23" t="inlineStr">
        <is>
          <t>Slakt = Slakt [C23] ÷ Tal årskyr [C7]</t>
        </is>
      </c>
      <c r="F64" s="24" t="inlineStr">
        <is>
          <t>=IF((C7)=0,0,(C23)/(C7))</t>
        </is>
      </c>
    </row>
    <row r="65">
      <c r="A65" s="20" t="inlineStr">
        <is>
          <t>Livdyrsal</t>
        </is>
      </c>
      <c r="B65" s="21" t="inlineStr">
        <is>
          <t>Utrekna</t>
        </is>
      </c>
      <c r="C65" s="38">
        <f>IF((C7)=0,0,(C24)/(C7))</f>
        <v/>
      </c>
      <c r="D65" s="12" t="inlineStr">
        <is>
          <t>kr</t>
        </is>
      </c>
      <c r="E65" s="23" t="inlineStr">
        <is>
          <t>Livdyrsal = Livdyrsal [C24] ÷ Tal årskyr [C7]</t>
        </is>
      </c>
      <c r="F65" s="24" t="inlineStr">
        <is>
          <t>=IF((C7)=0,0,(C24)/(C7))</t>
        </is>
      </c>
    </row>
    <row r="66">
      <c r="A66" s="20" t="inlineStr">
        <is>
          <t>Buskap, beholdningsendring (+ = auke)</t>
        </is>
      </c>
      <c r="B66" s="21" t="inlineStr">
        <is>
          <t>Utrekna</t>
        </is>
      </c>
      <c r="C66" s="38">
        <f>IF((C7)=0,0,(C25)/(C7))</f>
        <v/>
      </c>
      <c r="D66" s="12" t="inlineStr">
        <is>
          <t>kr</t>
        </is>
      </c>
      <c r="E66" s="23" t="inlineStr">
        <is>
          <t>Buskap, beholdningsendring (+ = auke) = Buskap, beholdningsendring (+ = auke) [C25] ÷ Tal årskyr [C7]</t>
        </is>
      </c>
      <c r="F66" s="24" t="inlineStr">
        <is>
          <t>=IF((C7)=0,0,(C25)/(C7))</t>
        </is>
      </c>
    </row>
    <row r="67">
      <c r="A67" s="20" t="inlineStr">
        <is>
          <t>Andre inntekter</t>
        </is>
      </c>
      <c r="B67" s="21" t="inlineStr">
        <is>
          <t>Utrekna</t>
        </is>
      </c>
      <c r="C67" s="38">
        <f>IF((C7)=0,0,(C26)/(C7))</f>
        <v/>
      </c>
      <c r="D67" s="12" t="inlineStr">
        <is>
          <t>kr</t>
        </is>
      </c>
      <c r="E67" s="23" t="inlineStr">
        <is>
          <t>Andre inntekter = Andre inntekter [C26] ÷ Tal årskyr [C7]</t>
        </is>
      </c>
      <c r="F67" s="24" t="inlineStr">
        <is>
          <t>=IF((C7)=0,0,(C26)/(C7))</t>
        </is>
      </c>
    </row>
    <row r="68">
      <c r="A68" s="20" t="inlineStr">
        <is>
          <t>Produksjonsinntekter i alt</t>
        </is>
      </c>
      <c r="B68" s="21" t="inlineStr">
        <is>
          <t>Utrekna</t>
        </is>
      </c>
      <c r="C68" s="38">
        <f>IF((C7)=0,0,(C50)/(C7))</f>
        <v/>
      </c>
      <c r="D68" s="12" t="inlineStr">
        <is>
          <t>kr</t>
        </is>
      </c>
      <c r="E68" s="23" t="inlineStr">
        <is>
          <t>Produksjonsinntekter i alt = Produksjonsinntekter i alt [C50] ÷ Tal årskyr [C7]</t>
        </is>
      </c>
      <c r="F68" s="24" t="inlineStr">
        <is>
          <t>=IF((C7)=0,0,(C50)/(C7))</t>
        </is>
      </c>
    </row>
    <row r="69">
      <c r="A69" s="18" t="inlineStr">
        <is>
          <t>Variable kostnader pr årsku</t>
        </is>
      </c>
      <c r="B69" s="19" t="n"/>
      <c r="C69" s="19" t="n"/>
      <c r="D69" s="19" t="n"/>
      <c r="E69" s="19" t="n"/>
      <c r="F69" s="19" t="n"/>
    </row>
    <row r="70">
      <c r="A70" s="20" t="inlineStr">
        <is>
          <t>Eigen grovfôrproduksjon</t>
        </is>
      </c>
      <c r="B70" s="21" t="inlineStr">
        <is>
          <t>Utrekna</t>
        </is>
      </c>
      <c r="C70" s="38">
        <f>IF((C7)=0,0,(C53)/(C7))</f>
        <v/>
      </c>
      <c r="D70" s="12" t="inlineStr">
        <is>
          <t>kr</t>
        </is>
      </c>
      <c r="E70" s="23" t="inlineStr">
        <is>
          <t>Eigen grovfôrproduksjon = Sum eigen grovfôrproduksjon (utan lagerendring) [C53] ÷ Tal årskyr [C7]</t>
        </is>
      </c>
      <c r="F70" s="24" t="inlineStr">
        <is>
          <t>=IF((C7)=0,0,(C53)/(C7))</t>
        </is>
      </c>
    </row>
    <row r="71">
      <c r="A71" s="20" t="inlineStr">
        <is>
          <t>Kjøpt grovfôr</t>
        </is>
      </c>
      <c r="B71" s="21" t="inlineStr">
        <is>
          <t>Utrekna</t>
        </is>
      </c>
      <c r="C71" s="38">
        <f>IF((C7)=0,0,(C39)/(C7))</f>
        <v/>
      </c>
      <c r="D71" s="12" t="inlineStr">
        <is>
          <t>kr</t>
        </is>
      </c>
      <c r="E71" s="23" t="inlineStr">
        <is>
          <t>Kjøpt grovfôr = Kjøp grovfôr [C39] ÷ Tal årskyr [C7]</t>
        </is>
      </c>
      <c r="F71" s="24" t="inlineStr">
        <is>
          <t>=IF((C7)=0,0,(C39)/(C7))</t>
        </is>
      </c>
    </row>
    <row r="72">
      <c r="A72" s="20" t="inlineStr">
        <is>
          <t>Varelager endring grovfôr</t>
        </is>
      </c>
      <c r="B72" s="21" t="inlineStr">
        <is>
          <t>Utrekna</t>
        </is>
      </c>
      <c r="C72" s="38">
        <f>IF((C7)=0,0,(C37+C41)/(C7))</f>
        <v/>
      </c>
      <c r="D72" s="12" t="inlineStr">
        <is>
          <t>kr</t>
        </is>
      </c>
      <c r="E72" s="23" t="inlineStr">
        <is>
          <t>Varelager endring grovfôr = (Endring eigenprodusert grovfôr (+ = nedgang i lager) [C37] + Endring innkjøpt grovfôrlager [C41]) ÷ Tal årskyr [C7]</t>
        </is>
      </c>
      <c r="F72" s="24" t="inlineStr">
        <is>
          <t>=IF((C7)=0,0,(C37+C41)/(C7))</t>
        </is>
      </c>
    </row>
    <row r="73">
      <c r="A73" s="20" t="inlineStr">
        <is>
          <t>Beiteleige</t>
        </is>
      </c>
      <c r="B73" s="21" t="inlineStr">
        <is>
          <t>Utrekna</t>
        </is>
      </c>
      <c r="C73" s="38">
        <f>IF((C7)=0,0,(C40)/(C7))</f>
        <v/>
      </c>
      <c r="D73" s="12" t="inlineStr">
        <is>
          <t>kr</t>
        </is>
      </c>
      <c r="E73" s="23" t="inlineStr">
        <is>
          <t>Beiteleige = Beiteleige / dyr på beite [C40] ÷ Tal årskyr [C7]</t>
        </is>
      </c>
      <c r="F73" s="24" t="inlineStr">
        <is>
          <t>=IF((C7)=0,0,(C40)/(C7))</t>
        </is>
      </c>
    </row>
    <row r="74">
      <c r="A74" s="20" t="inlineStr">
        <is>
          <t>Kraftfôr mm.</t>
        </is>
      </c>
      <c r="B74" s="21" t="inlineStr">
        <is>
          <t>Utrekna</t>
        </is>
      </c>
      <c r="C74" s="38">
        <f>IF((C7)=0,0,(C42)/(C7))</f>
        <v/>
      </c>
      <c r="D74" s="12" t="inlineStr">
        <is>
          <t>kr</t>
        </is>
      </c>
      <c r="E74" s="23" t="inlineStr">
        <is>
          <t>Kraftfôr mm. = Kraftfôr mm. [C42] ÷ Tal årskyr [C7]</t>
        </is>
      </c>
      <c r="F74" s="24" t="inlineStr">
        <is>
          <t>=IF((C7)=0,0,(C42)/(C7))</t>
        </is>
      </c>
    </row>
    <row r="75">
      <c r="A75" s="20" t="inlineStr">
        <is>
          <t>Veterinær, medisin, semin mm.</t>
        </is>
      </c>
      <c r="B75" s="21" t="inlineStr">
        <is>
          <t>Utrekna</t>
        </is>
      </c>
      <c r="C75" s="38">
        <f>IF((C7)=0,0,(C43)/(C7))</f>
        <v/>
      </c>
      <c r="D75" s="12" t="inlineStr">
        <is>
          <t>kr</t>
        </is>
      </c>
      <c r="E75" s="23" t="inlineStr">
        <is>
          <t>Veterinær, medisin, semin mm. = Veterinær, medisin, semin mm. [C43] ÷ Tal årskyr [C7]</t>
        </is>
      </c>
      <c r="F75" s="24" t="inlineStr">
        <is>
          <t>=IF((C7)=0,0,(C43)/(C7))</t>
        </is>
      </c>
    </row>
    <row r="76">
      <c r="A76" s="20" t="inlineStr">
        <is>
          <t>Innkjøp dyr</t>
        </is>
      </c>
      <c r="B76" s="21" t="inlineStr">
        <is>
          <t>Utrekna</t>
        </is>
      </c>
      <c r="C76" s="38">
        <f>IF((C7)=0,0,(C44)/(C7))</f>
        <v/>
      </c>
      <c r="D76" s="12" t="inlineStr">
        <is>
          <t>kr</t>
        </is>
      </c>
      <c r="E76" s="23" t="inlineStr">
        <is>
          <t>Innkjøp dyr = Innkjøp dyr [C44] ÷ Tal årskyr [C7]</t>
        </is>
      </c>
      <c r="F76" s="24" t="inlineStr">
        <is>
          <t>=IF((C7)=0,0,(C44)/(C7))</t>
        </is>
      </c>
    </row>
    <row r="77">
      <c r="A77" s="20" t="inlineStr">
        <is>
          <t>Andre variable kostnader</t>
        </is>
      </c>
      <c r="B77" s="21" t="inlineStr">
        <is>
          <t>Utrekna</t>
        </is>
      </c>
      <c r="C77" s="38">
        <f>IF((C7)=0,0,(C45)/(C7))</f>
        <v/>
      </c>
      <c r="D77" s="12" t="inlineStr">
        <is>
          <t>kr</t>
        </is>
      </c>
      <c r="E77" s="23" t="inlineStr">
        <is>
          <t>Andre variable kostnader = Andre variable kostnader [C45] ÷ Tal årskyr [C7]</t>
        </is>
      </c>
      <c r="F77" s="24" t="inlineStr">
        <is>
          <t>=IF((C7)=0,0,(C45)/(C7))</t>
        </is>
      </c>
    </row>
    <row r="78">
      <c r="A78" s="20" t="inlineStr">
        <is>
          <t>Sum variable kostnader</t>
        </is>
      </c>
      <c r="B78" s="21" t="inlineStr">
        <is>
          <t>Utrekna</t>
        </is>
      </c>
      <c r="C78" s="38">
        <f>IF((C7)=0,0,(C55)/(C7))</f>
        <v/>
      </c>
      <c r="D78" s="12" t="inlineStr">
        <is>
          <t>kr</t>
        </is>
      </c>
      <c r="E78" s="23" t="inlineStr">
        <is>
          <t>Sum variable kostnader = Variable kostnader i alt [C55] ÷ Tal årskyr [C7]</t>
        </is>
      </c>
      <c r="F78" s="24" t="inlineStr">
        <is>
          <t>=IF((C7)=0,0,(C55)/(C7))</t>
        </is>
      </c>
    </row>
    <row r="79">
      <c r="A79" s="18" t="inlineStr">
        <is>
          <t>Resultat pr årsku</t>
        </is>
      </c>
      <c r="B79" s="19" t="n"/>
      <c r="C79" s="19" t="n"/>
      <c r="D79" s="19" t="n"/>
      <c r="E79" s="19" t="n"/>
      <c r="F79" s="19" t="n"/>
    </row>
    <row r="80">
      <c r="A80" s="20" t="inlineStr">
        <is>
          <t>DB utan tilskot</t>
        </is>
      </c>
      <c r="B80" s="21" t="inlineStr">
        <is>
          <t>Utrekna</t>
        </is>
      </c>
      <c r="C80" s="38">
        <f>IF((C7)=0,0,(C56)/(C7))</f>
        <v/>
      </c>
      <c r="D80" s="12" t="inlineStr">
        <is>
          <t>kr</t>
        </is>
      </c>
      <c r="E80" s="23" t="inlineStr">
        <is>
          <t>DB utan tilskot = Dekningsbidrag (DB) utan tilskot [C56] ÷ Tal årskyr [C7]</t>
        </is>
      </c>
      <c r="F80" s="24" t="inlineStr">
        <is>
          <t>=IF((C7)=0,0,(C56)/(C7))</t>
        </is>
      </c>
    </row>
    <row r="81">
      <c r="A81" s="20" t="inlineStr">
        <is>
          <t>Tilskot</t>
        </is>
      </c>
      <c r="B81" s="21" t="inlineStr">
        <is>
          <t>Utrekna</t>
        </is>
      </c>
      <c r="C81" s="38">
        <f>IF((C7)=0,0,(C21)/(C7))</f>
        <v/>
      </c>
      <c r="D81" s="12" t="inlineStr">
        <is>
          <t>kr</t>
        </is>
      </c>
      <c r="E81" s="23" t="inlineStr">
        <is>
          <t>Tilskot = Produksjonstilskot fordelt på produksjonen [C21] ÷ Tal årskyr [C7]</t>
        </is>
      </c>
      <c r="F81" s="24" t="inlineStr">
        <is>
          <t>=IF((C7)=0,0,(C21)/(C7))</t>
        </is>
      </c>
    </row>
    <row r="82">
      <c r="A82" s="20" t="inlineStr">
        <is>
          <t>DB med tilskot</t>
        </is>
      </c>
      <c r="B82" s="21" t="inlineStr">
        <is>
          <t>Utrekna</t>
        </is>
      </c>
      <c r="C82" s="38">
        <f>IF((C7)=0,0,(C57)/(C7))</f>
        <v/>
      </c>
      <c r="D82" s="12" t="inlineStr">
        <is>
          <t>kr</t>
        </is>
      </c>
      <c r="E82" s="23" t="inlineStr">
        <is>
          <t>DB med tilskot = Dekningsbidrag (DB) med tilskot [C57] ÷ Tal årskyr [C7]</t>
        </is>
      </c>
      <c r="F82" s="24" t="inlineStr">
        <is>
          <t>=IF((C7)=0,0,(C57)/(C7))</t>
        </is>
      </c>
    </row>
    <row r="83">
      <c r="A83" s="20" t="inlineStr">
        <is>
          <t>Maskinkostnader</t>
        </is>
      </c>
      <c r="B83" s="21" t="inlineStr">
        <is>
          <t>Utrekna</t>
        </is>
      </c>
      <c r="C83" s="38">
        <f>IF((C7)=0,0,(C47)/(C7))</f>
        <v/>
      </c>
      <c r="D83" s="12" t="inlineStr">
        <is>
          <t>kr</t>
        </is>
      </c>
      <c r="E83" s="23" t="inlineStr">
        <is>
          <t>Maskinkostnader = Maskinkostnader fordelt [C47] ÷ Tal årskyr [C7]</t>
        </is>
      </c>
      <c r="F83" s="24" t="inlineStr">
        <is>
          <t>=IF((C7)=0,0,(C47)/(C7))</t>
        </is>
      </c>
    </row>
    <row r="84">
      <c r="A84" s="20" t="inlineStr">
        <is>
          <t>Innandørsmekanisering</t>
        </is>
      </c>
      <c r="B84" s="21" t="inlineStr">
        <is>
          <t>Utrekna</t>
        </is>
      </c>
      <c r="C84" s="38">
        <f>IF((C7)=0,0,(C48)/(C7))</f>
        <v/>
      </c>
      <c r="D84" s="12" t="inlineStr">
        <is>
          <t>kr</t>
        </is>
      </c>
      <c r="E84" s="23" t="inlineStr">
        <is>
          <t>Innandørsmekanisering = Innandørsmekanisering fordelt [C48] ÷ Tal årskyr [C7]</t>
        </is>
      </c>
      <c r="F84" s="24" t="inlineStr">
        <is>
          <t>=IF((C7)=0,0,(C48)/(C7))</t>
        </is>
      </c>
    </row>
    <row r="85">
      <c r="A85" s="20" t="inlineStr">
        <is>
          <t>DB m/tilskot etter maskin og innandørsmek.</t>
        </is>
      </c>
      <c r="B85" s="21" t="inlineStr">
        <is>
          <t>Utrekna</t>
        </is>
      </c>
      <c r="C85" s="38">
        <f>IF((C7)=0,0,(C58)/(C7))</f>
        <v/>
      </c>
      <c r="D85" s="12" t="inlineStr">
        <is>
          <t>kr</t>
        </is>
      </c>
      <c r="E85" s="23" t="inlineStr">
        <is>
          <t>DB m/tilskot etter maskin og innandørsmek. = DB m/tilskot etter maskin- og innandørskostnad [C58] ÷ Tal årskyr [C7]</t>
        </is>
      </c>
      <c r="F85" s="24" t="inlineStr">
        <is>
          <t>=IF((C7)=0,0,(C58)/(C7))</t>
        </is>
      </c>
    </row>
    <row r="86">
      <c r="A86" s="18" t="inlineStr">
        <is>
          <t>6. OUTPUT – Nøkkeltal</t>
        </is>
      </c>
      <c r="B86" s="19" t="n"/>
      <c r="C86" s="19" t="n"/>
      <c r="D86" s="19" t="n"/>
      <c r="E86" s="19" t="n"/>
      <c r="F86" s="19" t="n"/>
    </row>
    <row r="87">
      <c r="A87" s="25" t="inlineStr">
        <is>
          <t>DB pr liter mjølk u/tilskot</t>
        </is>
      </c>
      <c r="B87" s="26" t="inlineStr">
        <is>
          <t>Utrekna</t>
        </is>
      </c>
      <c r="C87" s="39">
        <f>IF((C8)=0,0,(C56)/(C8))</f>
        <v/>
      </c>
      <c r="D87" s="28" t="inlineStr">
        <is>
          <t>kr</t>
        </is>
      </c>
      <c r="E87" s="29" t="inlineStr">
        <is>
          <t>DB pr liter mjølk u/tilskot = Dekningsbidrag (DB) utan tilskot [C56] ÷ Levert mjølk [C8]</t>
        </is>
      </c>
      <c r="F87" s="30" t="inlineStr">
        <is>
          <t>=IF((C8)=0,0,(C56)/(C8))</t>
        </is>
      </c>
    </row>
    <row r="88">
      <c r="A88" s="25" t="inlineStr">
        <is>
          <t>DB pr årsku u/tilskot</t>
        </is>
      </c>
      <c r="B88" s="26" t="inlineStr">
        <is>
          <t>Utrekna</t>
        </is>
      </c>
      <c r="C88" s="39">
        <f>IF((C7)=0,0,(C56)/(C7))</f>
        <v/>
      </c>
      <c r="D88" s="28" t="inlineStr">
        <is>
          <t>kr</t>
        </is>
      </c>
      <c r="E88" s="29" t="inlineStr">
        <is>
          <t>DB pr årsku u/tilskot = Dekningsbidrag (DB) utan tilskot [C56] ÷ Tal årskyr [C7]</t>
        </is>
      </c>
      <c r="F88" s="30" t="inlineStr">
        <is>
          <t>=IF((C7)=0,0,(C56)/(C7))</t>
        </is>
      </c>
    </row>
    <row r="89">
      <c r="A89" s="25" t="inlineStr">
        <is>
          <t>DB pr årsku m/tilskot</t>
        </is>
      </c>
      <c r="B89" s="26" t="inlineStr">
        <is>
          <t>Utrekna</t>
        </is>
      </c>
      <c r="C89" s="39">
        <f>IF((C7)=0,0,(C57)/(C7))</f>
        <v/>
      </c>
      <c r="D89" s="28" t="inlineStr">
        <is>
          <t>kr</t>
        </is>
      </c>
      <c r="E89" s="29" t="inlineStr">
        <is>
          <t>DB pr årsku m/tilskot = Dekningsbidrag (DB) med tilskot [C57] ÷ Tal årskyr [C7]</t>
        </is>
      </c>
      <c r="F89" s="30" t="inlineStr">
        <is>
          <t>=IF((C7)=0,0,(C57)/(C7))</t>
        </is>
      </c>
    </row>
    <row r="90">
      <c r="A90" s="25" t="inlineStr">
        <is>
          <t>DB pr dekar grovfôr u/tilskot</t>
        </is>
      </c>
      <c r="B90" s="26" t="inlineStr">
        <is>
          <t>Utrekna</t>
        </is>
      </c>
      <c r="C90" s="39">
        <f>IF(('Grovfôr'!C21*IF(('Grovfôr'!C38)=0,0,(C53)/('Grovfôr'!C38)))=0,0,(C56)/('Grovfôr'!C21*IF(('Grovfôr'!C38)=0,0,(C53)/('Grovfôr'!C38))))</f>
        <v/>
      </c>
      <c r="D90" s="28" t="inlineStr">
        <is>
          <t>kr</t>
        </is>
      </c>
      <c r="E90" s="29" t="inlineStr">
        <is>
          <t>DB pr dekar grovfôr u/tilskot = Dekningsbidrag (DB) utan tilskot [C56] ÷ (Korrigert grovfôrareal (overflate/1,25 + fulldyrka + kulturbeite/2,5) [Grovfôr!C21] × Sum eigen grovfôrproduksjon (utan lagerendring) [C53] ÷ Sum eigen grovfôrkostnad (fordelingsnøkkel areal) [Grovfôr!C38])   (Grovfôrarealet blir fordelt etter produksjonen sin del av eigen grovfôrkostnad)</t>
        </is>
      </c>
      <c r="F90" s="30" t="inlineStr">
        <is>
          <t>=IF(('Grovfôr'!C21*IF(('Grovfôr'!C38)=0,0,(C53)/('Grovfôr'!C38)))=0,0,(C56)/('Grovfôr'!C21*IF(('Grovfôr'!C38)=0,0,(C53)/('Grovfôr'!C38))))</t>
        </is>
      </c>
    </row>
    <row r="91">
      <c r="A91" s="25" t="inlineStr">
        <is>
          <t>DB pr dekar grovfôr m/tilskot</t>
        </is>
      </c>
      <c r="B91" s="26" t="inlineStr">
        <is>
          <t>Utrekna</t>
        </is>
      </c>
      <c r="C91" s="39">
        <f>IF(('Grovfôr'!C21*IF(('Grovfôr'!C38)=0,0,(C53)/('Grovfôr'!C38)))=0,0,(C57)/('Grovfôr'!C21*IF(('Grovfôr'!C38)=0,0,(C53)/('Grovfôr'!C38))))</f>
        <v/>
      </c>
      <c r="D91" s="28" t="inlineStr">
        <is>
          <t>kr</t>
        </is>
      </c>
      <c r="E91" s="29" t="inlineStr">
        <is>
          <t>DB pr dekar grovfôr m/tilskot = Dekningsbidrag (DB) med tilskot [C57] ÷ (Korrigert grovfôrareal (overflate/1,25 + fulldyrka + kulturbeite/2,5) [Grovfôr!C21] × Sum eigen grovfôrproduksjon (utan lagerendring) [C53] ÷ Sum eigen grovfôrkostnad (fordelingsnøkkel areal) [Grovfôr!C38])</t>
        </is>
      </c>
      <c r="F91" s="30" t="inlineStr">
        <is>
          <t>=IF(('Grovfôr'!C21*IF(('Grovfôr'!C38)=0,0,(C53)/('Grovfôr'!C38)))=0,0,(C57)/('Grovfôr'!C21*IF(('Grovfôr'!C38)=0,0,(C53)/('Grovfôr'!C38))))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Oppnådd mjølkepris pr liter (u/distriktstilskot)</t>
        </is>
      </c>
      <c r="B95" s="26" t="inlineStr">
        <is>
          <t>Utrekna</t>
        </is>
      </c>
      <c r="C95" s="39">
        <f>IF((C8)=0,0,(C22-C27)/(C8))</f>
        <v/>
      </c>
      <c r="D95" s="28" t="inlineStr">
        <is>
          <t>kr</t>
        </is>
      </c>
      <c r="E95" s="29" t="inlineStr">
        <is>
          <t>Oppnådd mjølkepris pr liter (u/distriktstilskot) = (Mjølk [C22] − Herav distriktstilskot mjølk [C27]) ÷ Levert mjølk [C8]</t>
        </is>
      </c>
      <c r="F95" s="30" t="inlineStr">
        <is>
          <t>=IF((C8)=0,0,(C22-C27)/(C8))</t>
        </is>
      </c>
    </row>
    <row r="96">
      <c r="A96" s="25" t="inlineStr">
        <is>
          <t>Oppnådd slaktepris pr kg (u/distriktstilskot)</t>
        </is>
      </c>
      <c r="B96" s="26" t="inlineStr">
        <is>
          <t>Utrekna</t>
        </is>
      </c>
      <c r="C96" s="39">
        <f>IF((C10)=0,0,(C23-C28)/(C10))</f>
        <v/>
      </c>
      <c r="D96" s="28" t="inlineStr">
        <is>
          <t>kr</t>
        </is>
      </c>
      <c r="E96" s="29" t="inlineStr">
        <is>
          <t>Oppnådd slaktepris pr kg (u/distriktstilskot) = (Slakt [C23] − Herav distriktstilskot kjøt [C28]) ÷ Kg slakt storfe (mjølkeproduksjonen) [C10]</t>
        </is>
      </c>
      <c r="F96" s="30" t="inlineStr">
        <is>
          <t>=IF((C10)=0,0,(C23-C28)/(C10))</t>
        </is>
      </c>
    </row>
    <row r="97">
      <c r="A97" s="25" t="inlineStr">
        <is>
          <t>Maskinkostnader pr liter</t>
        </is>
      </c>
      <c r="B97" s="26" t="inlineStr">
        <is>
          <t>Utrekna</t>
        </is>
      </c>
      <c r="C97" s="39">
        <f>IF((C8)=0,0,(C47)/(C8))</f>
        <v/>
      </c>
      <c r="D97" s="28" t="inlineStr">
        <is>
          <t>kr</t>
        </is>
      </c>
      <c r="E97" s="29" t="inlineStr">
        <is>
          <t>Maskinkostnader pr liter = Maskinkostnader fordelt [C47] ÷ Levert mjølk [C8]</t>
        </is>
      </c>
      <c r="F97" s="30" t="inlineStr">
        <is>
          <t>=IF((C8)=0,0,(C47)/(C8))</t>
        </is>
      </c>
    </row>
    <row r="98">
      <c r="A98" s="25" t="inlineStr">
        <is>
          <t>Innandørsmekanisering pr liter</t>
        </is>
      </c>
      <c r="B98" s="26" t="inlineStr">
        <is>
          <t>Utrekna</t>
        </is>
      </c>
      <c r="C98" s="39">
        <f>IF((C8)=0,0,(C48)/(C8))</f>
        <v/>
      </c>
      <c r="D98" s="28" t="inlineStr">
        <is>
          <t>kr</t>
        </is>
      </c>
      <c r="E98" s="29" t="inlineStr">
        <is>
          <t>Innandørsmekanisering pr liter = Innandørsmekanisering fordelt [C48] ÷ Levert mjølk [C8]</t>
        </is>
      </c>
      <c r="F98" s="30" t="inlineStr">
        <is>
          <t>=IF((C8)=0,0,(C48)/(C8))</t>
        </is>
      </c>
    </row>
    <row r="99">
      <c r="A99" s="25" t="inlineStr">
        <is>
          <t>Innandørsmekanisering pr årsku</t>
        </is>
      </c>
      <c r="B99" s="26" t="inlineStr">
        <is>
          <t>Utrekna</t>
        </is>
      </c>
      <c r="C99" s="39">
        <f>IF((C7)=0,0,(C48)/(C7))</f>
        <v/>
      </c>
      <c r="D99" s="28" t="inlineStr">
        <is>
          <t>kr</t>
        </is>
      </c>
      <c r="E99" s="29" t="inlineStr">
        <is>
          <t>Innandørsmekanisering pr årsku = Innandørsmekanisering fordelt [C48] ÷ Tal årskyr [C7]</t>
        </is>
      </c>
      <c r="F99" s="30" t="inlineStr">
        <is>
          <t>=IF((C7)=0,0,(C48)/(C7))</t>
        </is>
      </c>
    </row>
    <row r="100">
      <c r="A100" s="25" t="inlineStr">
        <is>
          <t>Levert mjølk pr årsku (liter)</t>
        </is>
      </c>
      <c r="B100" s="26" t="inlineStr">
        <is>
          <t>Utrekna</t>
        </is>
      </c>
      <c r="C100" s="27">
        <f>IF((C7)=0,0,(C8)/(C7))</f>
        <v/>
      </c>
      <c r="D100" s="28" t="inlineStr">
        <is>
          <t>liter</t>
        </is>
      </c>
      <c r="E100" s="29" t="inlineStr">
        <is>
          <t>Levert mjølk pr årsku (liter) = Levert mjølk [C8] ÷ Tal årskyr [C7]</t>
        </is>
      </c>
      <c r="F100" s="30" t="inlineStr">
        <is>
          <t>=IF((C7)=0,0,(C8)/(C7))</t>
        </is>
      </c>
    </row>
    <row r="101">
      <c r="A101" s="25" t="inlineStr">
        <is>
          <t>Påsettprosent</t>
        </is>
      </c>
      <c r="B101" s="26" t="inlineStr">
        <is>
          <t>Utrekna</t>
        </is>
      </c>
      <c r="C101" s="33">
        <f>C60</f>
        <v/>
      </c>
      <c r="D101" s="28" t="inlineStr">
        <is>
          <t>%</t>
        </is>
      </c>
      <c r="E101" s="29" t="inlineStr">
        <is>
          <t>Påsettprosent = Påsettprosent [C60]</t>
        </is>
      </c>
      <c r="F101" s="30" t="inlineStr">
        <is>
          <t>=C60</t>
        </is>
      </c>
    </row>
    <row r="102">
      <c r="A102" s="25" t="inlineStr">
        <is>
          <t>Kvoteoppfylling</t>
        </is>
      </c>
      <c r="B102" s="26" t="inlineStr">
        <is>
          <t>Utrekna</t>
        </is>
      </c>
      <c r="C102" s="33">
        <f>IF((C9)=0,0,(C8)/(C9))</f>
        <v/>
      </c>
      <c r="D102" s="28" t="inlineStr">
        <is>
          <t>%</t>
        </is>
      </c>
      <c r="E102" s="29" t="inlineStr">
        <is>
          <t>Kvoteoppfylling = Levert mjølk [C8] ÷ Disponibel mjølkekvote [C9]</t>
        </is>
      </c>
      <c r="F102" s="30" t="inlineStr">
        <is>
          <t>=IF((C9)=0,0,(C8)/(C9))</t>
        </is>
      </c>
    </row>
    <row r="103">
      <c r="A103" s="25" t="inlineStr">
        <is>
          <t>Analysegruppe (påsett)</t>
        </is>
      </c>
      <c r="B103" s="26" t="inlineStr">
        <is>
          <t>Utrekna</t>
        </is>
      </c>
      <c r="C103" s="41">
        <f>IF(C60&lt;=0.8,"Påsett &lt; 80 %",IF(C60&lt;1.2,"Påsett 80–120 %","Påsett &gt; 120 %"))</f>
        <v/>
      </c>
      <c r="D103" s="28" t="inlineStr">
        <is>
          <t>tekst</t>
        </is>
      </c>
      <c r="E103" s="29" t="inlineStr">
        <is>
          <t>Analysegruppe (påsett) = HVIS(Påsettprosent [C60]&lt;=0,8; "Påsett &lt; 80 %"; HVIS(Påsettprosent [C60]&lt;1,2; "Påsett 80–120 %"; "Påsett &gt; 120 %"))   (Tilsvarar arka «Mjølk &lt;80%», «Mjølk 80-120%» og «Mjølk &gt;120%» i eksempelanalysen)</t>
        </is>
      </c>
      <c r="F103" s="30" t="inlineStr">
        <is>
          <t>=IF(C60&lt;=0.8,"Påsett &lt; 80 %",IF(C60&lt;1.2,"Påsett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20" t="inlineStr">
        <is>
          <t>Fôrnorm beite (FEm)</t>
        </is>
      </c>
      <c r="B16" s="24" t="inlineStr">
        <is>
          <t>Fôrnorm pr okse og år (jf. marginalanalysen). Brukt til arealbehov og fordelingsnøklar</t>
        </is>
      </c>
      <c r="C16" s="31" t="n">
        <v>0</v>
      </c>
      <c r="D16" s="12" t="inlineStr">
        <is>
          <t>FEm</t>
        </is>
      </c>
      <c r="E16" s="24" t="inlineStr">
        <is>
          <t>Input. Hentast frå: Fôrnorm pr okse og år (jf. marginalanalysen). Brukt til arealbehov og fordelingsnøklar.</t>
        </is>
      </c>
      <c r="F16" s="32" t="n"/>
    </row>
    <row r="17">
      <c r="A17" s="20" t="inlineStr">
        <is>
          <t>Fôrnorm eige grovfôr vinter (FEm)</t>
        </is>
      </c>
      <c r="B17" s="24" t="inlineStr">
        <is>
          <t>Fôrnorm pr okse og år (jf. marginalanalysen). Brukt til arealbehov og fordelingsnøklar</t>
        </is>
      </c>
      <c r="C17" s="31" t="n">
        <v>1630</v>
      </c>
      <c r="D17" s="12" t="inlineStr">
        <is>
          <t>FEm</t>
        </is>
      </c>
      <c r="E17" s="24" t="inlineStr">
        <is>
          <t>Input. Hentast frå: Fôrnorm pr okse og år (jf. marginalanalysen). Brukt til arealbehov og fordelingsnøklar.</t>
        </is>
      </c>
      <c r="F17" s="32" t="n"/>
    </row>
    <row r="18">
      <c r="A18" s="20" t="inlineStr">
        <is>
          <t>Fôrnorm kraftfôr (FEm)</t>
        </is>
      </c>
      <c r="B18" s="24" t="inlineStr">
        <is>
          <t>Fôrnorm pr okse og år (jf. marginalanalysen). Brukt til arealbehov og fordelingsnøklar</t>
        </is>
      </c>
      <c r="C18" s="31" t="n">
        <v>1140</v>
      </c>
      <c r="D18" s="12" t="inlineStr">
        <is>
          <t>FEm</t>
        </is>
      </c>
      <c r="E18" s="24" t="inlineStr">
        <is>
          <t>Input. Hentast frå: Fôrnorm pr okse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95000</v>
      </c>
      <c r="D20" s="12" t="inlineStr">
        <is>
          <t>kr</t>
        </is>
      </c>
      <c r="E20" s="24" t="inlineStr">
        <is>
          <t>Input. Hentast frå: 34xx (ikkje 344x avløysartilskot).</t>
        </is>
      </c>
      <c r="F20" s="32" t="n"/>
    </row>
    <row r="21">
      <c r="A21" s="20" t="inlineStr">
        <is>
          <t>Slakt</t>
        </is>
      </c>
      <c r="B21" s="24" t="inlineStr">
        <is>
          <t>3040-3049, 3162, 3172, 3078</t>
        </is>
      </c>
      <c r="C21" s="31" t="n">
        <v>290000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12000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20790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3000</v>
      </c>
      <c r="D27" s="12" t="inlineStr">
        <is>
          <t>kr</t>
        </is>
      </c>
      <c r="E27" s="24" t="inlineStr">
        <is>
          <t>Input. Hentast frå: 4001.</t>
        </is>
      </c>
      <c r="F27" s="32" t="n"/>
    </row>
    <row r="28">
      <c r="A28" s="20" t="inlineStr">
        <is>
          <t>Plantevernmiddel</t>
        </is>
      </c>
      <c r="B28" s="24" t="inlineStr">
        <is>
          <t>4110, 4191</t>
        </is>
      </c>
      <c r="C28" s="31" t="n">
        <v>1000</v>
      </c>
      <c r="D28" s="12" t="inlineStr">
        <is>
          <t>kr</t>
        </is>
      </c>
      <c r="E28" s="24" t="inlineStr">
        <is>
          <t>Input. Hentast frå: 4110, 4191.</t>
        </is>
      </c>
      <c r="F28" s="32" t="n"/>
    </row>
    <row r="29">
      <c r="A29" s="20" t="inlineStr">
        <is>
          <t>Rundballeplast mm.</t>
        </is>
      </c>
      <c r="B29" s="24" t="inlineStr">
        <is>
          <t>4140, 4194</t>
        </is>
      </c>
      <c r="C29" s="31" t="n">
        <v>6000</v>
      </c>
      <c r="D29" s="12" t="inlineStr">
        <is>
          <t>kr</t>
        </is>
      </c>
      <c r="E29" s="24" t="inlineStr">
        <is>
          <t>Input. Hentast frå: 4140, 4194.</t>
        </is>
      </c>
      <c r="F29" s="32" t="n"/>
    </row>
    <row r="30">
      <c r="A30" s="20" t="inlineStr">
        <is>
          <t>Handelsgjødsel</t>
        </is>
      </c>
      <c r="B30" s="24" t="inlineStr">
        <is>
          <t>4050, 4095</t>
        </is>
      </c>
      <c r="C30" s="31" t="n">
        <v>15000</v>
      </c>
      <c r="D30" s="12" t="inlineStr">
        <is>
          <t>kr</t>
        </is>
      </c>
      <c r="E30" s="24" t="inlineStr">
        <is>
          <t>Input. Hentast frå: 4050, 4095.</t>
        </is>
      </c>
      <c r="F30" s="32" t="n"/>
    </row>
    <row r="31">
      <c r="A31" s="20" t="inlineStr">
        <is>
          <t>Kalk</t>
        </is>
      </c>
      <c r="B31" s="24" t="inlineStr">
        <is>
          <t>4057</t>
        </is>
      </c>
      <c r="C31" s="31" t="n">
        <v>2000</v>
      </c>
      <c r="D31" s="12" t="inlineStr">
        <is>
          <t>kr</t>
        </is>
      </c>
      <c r="E31" s="24" t="inlineStr">
        <is>
          <t>Input. Hentast frå: 4057.</t>
        </is>
      </c>
      <c r="F31" s="32" t="n"/>
    </row>
    <row r="32">
      <c r="A32" s="20" t="inlineStr">
        <is>
          <t>Konserveringsmiddel</t>
        </is>
      </c>
      <c r="B32" s="24" t="inlineStr">
        <is>
          <t>4080, 4098</t>
        </is>
      </c>
      <c r="C32" s="31" t="n">
        <v>2500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-2000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60000</v>
      </c>
      <c r="D39" s="12" t="inlineStr">
        <is>
          <t>kr</t>
        </is>
      </c>
      <c r="E39" s="24" t="inlineStr">
        <is>
          <t>Input. Hentast frå: 4020-4029, 4040-4049, 4092, 4094.</t>
        </is>
      </c>
      <c r="F39" s="32" t="n"/>
    </row>
    <row r="40">
      <c r="A40" s="20" t="inlineStr">
        <is>
          <t>Veterinær, medisin, semin mm.</t>
        </is>
      </c>
      <c r="B40" s="24" t="inlineStr">
        <is>
          <t>4120, 4192, 4520-4529</t>
        </is>
      </c>
      <c r="C40" s="31" t="n">
        <v>8000</v>
      </c>
      <c r="D40" s="12" t="inlineStr">
        <is>
          <t>kr</t>
        </is>
      </c>
      <c r="E40" s="24" t="inlineStr">
        <is>
          <t>Input. Hentast frå: 4120, 4192, 4520-4529.</t>
        </is>
      </c>
      <c r="F40" s="32" t="n"/>
    </row>
    <row r="41">
      <c r="A41" s="20" t="inlineStr">
        <is>
          <t>Innkjøp dyr</t>
        </is>
      </c>
      <c r="B41" s="24" t="inlineStr">
        <is>
          <t>4600-4689</t>
        </is>
      </c>
      <c r="C41" s="31" t="n">
        <v>70000</v>
      </c>
      <c r="D41" s="12" t="inlineStr">
        <is>
          <t>kr</t>
        </is>
      </c>
      <c r="E41" s="24" t="inlineStr">
        <is>
          <t>Input. Hentast frå: 4600-4689.</t>
        </is>
      </c>
      <c r="F41" s="32" t="n"/>
    </row>
    <row r="42">
      <c r="A42" s="20" t="inlineStr">
        <is>
          <t>Andre variable kostnader</t>
        </is>
      </c>
      <c r="B42" s="24" t="inlineStr">
        <is>
          <t>4130-4139, 4193, 4530-4549, 4560-4569 + andre 4xxx</t>
        </is>
      </c>
      <c r="C42" s="31" t="n">
        <v>12000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kostnader'!C47</f>
        <v/>
      </c>
      <c r="D44" s="12" t="inlineStr">
        <is>
          <t>kr</t>
        </is>
      </c>
      <c r="E44" s="23" t="inlineStr">
        <is>
          <t>Maskinkostnader fordelt = Maskinkostnader – Oksar [Faste kostnader!C47]</t>
        </is>
      </c>
      <c r="F44" s="24" t="inlineStr">
        <is>
          <t>='Faste kostnader'!C47</t>
        </is>
      </c>
    </row>
    <row r="45">
      <c r="A45" s="20" t="inlineStr">
        <is>
          <t>Innandørsmekanisering fordelt</t>
        </is>
      </c>
      <c r="B45" s="21" t="inlineStr">
        <is>
          <t>Lenkje frå anna ark</t>
        </is>
      </c>
      <c r="C45" s="13">
        <f>'Faste kostnader'!C66</f>
        <v/>
      </c>
      <c r="D45" s="12" t="inlineStr">
        <is>
          <t>kr</t>
        </is>
      </c>
      <c r="E45" s="23" t="inlineStr">
        <is>
          <t>Innandørsmekanisering fordelt = Innandørsmekanisering – Oksar [Faste kostnader!C66]</t>
        </is>
      </c>
      <c r="F45" s="24" t="inlineStr">
        <is>
          <t>='Faste kostnader'!C66</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((Oksar/kalvar under 12 md pr 1.1. [C14] + Oksar/kalvar under 12 md pr 31.12. [C15]) / 8 + (Oksar over 12 md pr 1.1. [C12] + Oksar over 12 md pr 31.12. [C13]) / 4) / 2   (Vekting av dyretal (snitt 1.1. og 31.12.) – sjå formel)</t>
        </is>
      </c>
      <c r="F56" s="24" t="inlineStr">
        <is>
          <t>=((C14+C15)/8+(C12+C13)/4)/2</t>
        </is>
      </c>
    </row>
    <row r="57">
      <c r="A57" s="18" t="inlineStr">
        <is>
          <t>5. OUTPUT – Per eining (pr okse)</t>
        </is>
      </c>
      <c r="B57" s="19" t="n"/>
      <c r="C57" s="19" t="n"/>
      <c r="D57" s="19" t="n"/>
      <c r="E57" s="19" t="n"/>
      <c r="F57" s="19" t="n"/>
    </row>
    <row r="58">
      <c r="A58" s="18" t="inlineStr">
        <is>
          <t>Produksjonsinntekter pr okse</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oksar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oksar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oksar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oksar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oksar [C7]</t>
        </is>
      </c>
      <c r="F63" s="24" t="inlineStr">
        <is>
          <t>=IF((C7)=0,0,(C47)/(C7))</t>
        </is>
      </c>
    </row>
    <row r="64">
      <c r="A64" s="18" t="inlineStr">
        <is>
          <t>Variable kostnader pr okse</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oksar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oksar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oksar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oksar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oksar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oksar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oksar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oksar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oksar [C7]</t>
        </is>
      </c>
      <c r="F73" s="24" t="inlineStr">
        <is>
          <t>=IF((C7)=0,0,(C52)/(C7))</t>
        </is>
      </c>
    </row>
    <row r="74">
      <c r="A74" s="18" t="inlineStr">
        <is>
          <t>Resultat pr okse</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oksar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oksar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oksar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oksar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oksar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oksar [C7]</t>
        </is>
      </c>
      <c r="F80" s="24" t="inlineStr">
        <is>
          <t>=IF((C7)=0,0,(C55)/(C7))</t>
        </is>
      </c>
    </row>
    <row r="81">
      <c r="A81" s="18" t="inlineStr">
        <is>
          <t>6. OUTPUT – Nøkkeltal</t>
        </is>
      </c>
      <c r="B81" s="19" t="n"/>
      <c r="C81" s="19" t="n"/>
      <c r="D81" s="19" t="n"/>
      <c r="E81" s="19" t="n"/>
      <c r="F81" s="19" t="n"/>
    </row>
    <row r="82">
      <c r="A82" s="25" t="inlineStr">
        <is>
          <t>DB pr okse u/tilskot</t>
        </is>
      </c>
      <c r="B82" s="26" t="inlineStr">
        <is>
          <t>Utrekna</t>
        </is>
      </c>
      <c r="C82" s="39">
        <f>IF((C7)=0,0,(C53)/(C7))</f>
        <v/>
      </c>
      <c r="D82" s="28" t="inlineStr">
        <is>
          <t>kr</t>
        </is>
      </c>
      <c r="E82" s="29" t="inlineStr">
        <is>
          <t>DB pr okse u/tilskot = Dekningsbidrag (DB) utan tilskot [C53] ÷ Tal produserte oksar [C7]</t>
        </is>
      </c>
      <c r="F82" s="30" t="inlineStr">
        <is>
          <t>=IF((C7)=0,0,(C53)/(C7))</t>
        </is>
      </c>
    </row>
    <row r="83">
      <c r="A83" s="25" t="inlineStr">
        <is>
          <t>DB pr okse m/tilskot</t>
        </is>
      </c>
      <c r="B83" s="26" t="inlineStr">
        <is>
          <t>Utrekna</t>
        </is>
      </c>
      <c r="C83" s="39">
        <f>IF((C7)=0,0,(C54)/(C7))</f>
        <v/>
      </c>
      <c r="D83" s="28" t="inlineStr">
        <is>
          <t>kr</t>
        </is>
      </c>
      <c r="E83" s="29" t="inlineStr">
        <is>
          <t>DB pr okse m/tilskot = Dekningsbidrag (DB) med tilskot [C54] ÷ Tal produserte oksar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okse</t>
        </is>
      </c>
      <c r="B89" s="26" t="inlineStr">
        <is>
          <t>Utrekna</t>
        </is>
      </c>
      <c r="C89" s="39">
        <f>IF((C9)=0,0,(C21)/(C9))</f>
        <v/>
      </c>
      <c r="D89" s="28" t="inlineStr">
        <is>
          <t>kr</t>
        </is>
      </c>
      <c r="E89" s="29" t="inlineStr">
        <is>
          <t>Snitt slaktepris pr okse = Slakt [C21] ÷ Tal slakta oksar [C9]</t>
        </is>
      </c>
      <c r="F89" s="30" t="inlineStr">
        <is>
          <t>=IF((C9)=0,0,(C21)/(C9))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okse</t>
        </is>
      </c>
      <c r="B91" s="26" t="inlineStr">
        <is>
          <t>Utrekna</t>
        </is>
      </c>
      <c r="C91" s="39">
        <f>IF((C9)=0,0,(C21)/(C9))-IF((C11)=0,0,(C41)/(C11))</f>
        <v/>
      </c>
      <c r="D91" s="28" t="inlineStr">
        <is>
          <t>kr</t>
        </is>
      </c>
      <c r="E91" s="29" t="inlineStr">
        <is>
          <t>Slaktepris – kjøpspris pr okse = Slakt [C21] ÷ Tal slakta oksar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okse (kg)</t>
        </is>
      </c>
      <c r="B93" s="26" t="inlineStr">
        <is>
          <t>Utrekna</t>
        </is>
      </c>
      <c r="C93" s="37">
        <f>IF((C9)=0,0,(C8)/(C9))</f>
        <v/>
      </c>
      <c r="D93" s="28" t="inlineStr">
        <is>
          <t>kg</t>
        </is>
      </c>
      <c r="E93" s="29" t="inlineStr">
        <is>
          <t>Slaktevekt pr okse (kg) = Kg slakt [C8] ÷ Tal slakta oksar [C9]</t>
        </is>
      </c>
      <c r="F93" s="30" t="inlineStr">
        <is>
          <t>=IF((C9)=0,0,(C8)/(C9))</t>
        </is>
      </c>
    </row>
    <row r="94">
      <c r="A94" s="25" t="inlineStr">
        <is>
          <t>Innandørsmekanisering pr okse</t>
        </is>
      </c>
      <c r="B94" s="26" t="inlineStr">
        <is>
          <t>Utrekna</t>
        </is>
      </c>
      <c r="C94" s="39">
        <f>IF((C7)=0,0,(C45)/(C7))</f>
        <v/>
      </c>
      <c r="D94" s="28" t="inlineStr">
        <is>
          <t>kr</t>
        </is>
      </c>
      <c r="E94" s="29" t="inlineStr">
        <is>
          <t>Innandørsmekanisering pr okse = Innandørsmekanisering fordelt [C45] ÷ Tal produserte oksar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5"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20" t="inlineStr">
        <is>
          <t>Fôrnorm beite (FEm)</t>
        </is>
      </c>
      <c r="B16" s="24" t="inlineStr">
        <is>
          <t>Fôrnorm pr kalv og år (jf. marginalanalysen). Brukt til arealbehov og fordelingsnøklar</t>
        </is>
      </c>
      <c r="C16" s="31" t="n">
        <v>0</v>
      </c>
      <c r="D16" s="12" t="inlineStr">
        <is>
          <t>FEm</t>
        </is>
      </c>
      <c r="E16" s="24" t="inlineStr">
        <is>
          <t>Input. Hentast frå: Fôrnorm pr kalv og år (jf. marginalanalysen). Brukt til arealbehov og fordelingsnøklar.</t>
        </is>
      </c>
      <c r="F16" s="32" t="n"/>
    </row>
    <row r="17">
      <c r="A17" s="20" t="inlineStr">
        <is>
          <t>Fôrnorm eige grovfôr vinter (FEm)</t>
        </is>
      </c>
      <c r="B17" s="24" t="inlineStr">
        <is>
          <t>Fôrnorm pr kalv og år (jf. marginalanalysen). Brukt til arealbehov og fordelingsnøklar</t>
        </is>
      </c>
      <c r="C17" s="31" t="n">
        <v>600</v>
      </c>
      <c r="D17" s="12" t="inlineStr">
        <is>
          <t>FEm</t>
        </is>
      </c>
      <c r="E17" s="24" t="inlineStr">
        <is>
          <t>Input. Hentast frå: Fôrnorm pr kalv og år (jf. marginalanalysen). Brukt til arealbehov og fordelingsnøklar.</t>
        </is>
      </c>
      <c r="F17" s="32" t="n"/>
    </row>
    <row r="18">
      <c r="A18" s="20" t="inlineStr">
        <is>
          <t>Fôrnorm kraftfôr (FEm)</t>
        </is>
      </c>
      <c r="B18" s="24" t="inlineStr">
        <is>
          <t>Fôrnorm pr kalv og år (jf. marginalanalysen). Brukt til arealbehov og fordelingsnøklar</t>
        </is>
      </c>
      <c r="C18" s="31" t="n">
        <v>400</v>
      </c>
      <c r="D18" s="12" t="inlineStr">
        <is>
          <t>FEm</t>
        </is>
      </c>
      <c r="E18" s="24" t="inlineStr">
        <is>
          <t>Input. Hentast frå: Fôrnorm pr kalv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30000</v>
      </c>
      <c r="D20" s="12" t="inlineStr">
        <is>
          <t>kr</t>
        </is>
      </c>
      <c r="E20" s="24" t="inlineStr">
        <is>
          <t>Input. Hentast frå: 34xx (ikkje 344x avløysartilskot).</t>
        </is>
      </c>
      <c r="F20" s="32" t="n"/>
    </row>
    <row r="21">
      <c r="A21" s="20" t="inlineStr">
        <is>
          <t>Slakt</t>
        </is>
      </c>
      <c r="B21" s="24" t="inlineStr">
        <is>
          <t>3040-3049, 3162, 3172, 3078</t>
        </is>
      </c>
      <c r="C21" s="31" t="n">
        <v>180000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8000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500</v>
      </c>
      <c r="D27" s="12" t="inlineStr">
        <is>
          <t>kr</t>
        </is>
      </c>
      <c r="E27" s="24" t="inlineStr">
        <is>
          <t>Input. Hentast frå: 4001.</t>
        </is>
      </c>
      <c r="F27" s="32" t="n"/>
    </row>
    <row r="28">
      <c r="A28" s="20" t="inlineStr">
        <is>
          <t>Plantevernmiddel</t>
        </is>
      </c>
      <c r="B28" s="24" t="inlineStr">
        <is>
          <t>4110, 4191</t>
        </is>
      </c>
      <c r="C28" s="31" t="n">
        <v>0</v>
      </c>
      <c r="D28" s="12" t="inlineStr">
        <is>
          <t>kr</t>
        </is>
      </c>
      <c r="E28" s="24" t="inlineStr">
        <is>
          <t>Input. Hentast frå: 4110, 4191.</t>
        </is>
      </c>
      <c r="F28" s="32" t="n"/>
    </row>
    <row r="29">
      <c r="A29" s="20" t="inlineStr">
        <is>
          <t>Rundballeplast mm.</t>
        </is>
      </c>
      <c r="B29" s="24" t="inlineStr">
        <is>
          <t>4140, 4194</t>
        </is>
      </c>
      <c r="C29" s="31" t="n">
        <v>1500</v>
      </c>
      <c r="D29" s="12" t="inlineStr">
        <is>
          <t>kr</t>
        </is>
      </c>
      <c r="E29" s="24" t="inlineStr">
        <is>
          <t>Input. Hentast frå: 4140, 4194.</t>
        </is>
      </c>
      <c r="F29" s="32" t="n"/>
    </row>
    <row r="30">
      <c r="A30" s="20" t="inlineStr">
        <is>
          <t>Handelsgjødsel</t>
        </is>
      </c>
      <c r="B30" s="24" t="inlineStr">
        <is>
          <t>4050, 4095</t>
        </is>
      </c>
      <c r="C30" s="31" t="n">
        <v>3000</v>
      </c>
      <c r="D30" s="12" t="inlineStr">
        <is>
          <t>kr</t>
        </is>
      </c>
      <c r="E30" s="24" t="inlineStr">
        <is>
          <t>Input. Hentast frå: 4050, 4095.</t>
        </is>
      </c>
      <c r="F30" s="32" t="n"/>
    </row>
    <row r="31">
      <c r="A31" s="20" t="inlineStr">
        <is>
          <t>Kalk</t>
        </is>
      </c>
      <c r="B31" s="24" t="inlineStr">
        <is>
          <t>4057</t>
        </is>
      </c>
      <c r="C31" s="31" t="n">
        <v>500</v>
      </c>
      <c r="D31" s="12" t="inlineStr">
        <is>
          <t>kr</t>
        </is>
      </c>
      <c r="E31" s="24" t="inlineStr">
        <is>
          <t>Input. Hentast frå: 4057.</t>
        </is>
      </c>
      <c r="F31" s="32" t="n"/>
    </row>
    <row r="32">
      <c r="A32" s="20" t="inlineStr">
        <is>
          <t>Konserveringsmiddel</t>
        </is>
      </c>
      <c r="B32" s="24" t="inlineStr">
        <is>
          <t>4080, 4098</t>
        </is>
      </c>
      <c r="C32" s="31" t="n">
        <v>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30000</v>
      </c>
      <c r="D39" s="12" t="inlineStr">
        <is>
          <t>kr</t>
        </is>
      </c>
      <c r="E39" s="24" t="inlineStr">
        <is>
          <t>Input. Hentast frå: 4020-4029, 4040-4049, 4092, 4094.</t>
        </is>
      </c>
      <c r="F39" s="32" t="n"/>
    </row>
    <row r="40">
      <c r="A40" s="20" t="inlineStr">
        <is>
          <t>Veterinær, medisin, semin mm.</t>
        </is>
      </c>
      <c r="B40" s="24" t="inlineStr">
        <is>
          <t>4120, 4192, 4520-4529</t>
        </is>
      </c>
      <c r="C40" s="31" t="n">
        <v>6000</v>
      </c>
      <c r="D40" s="12" t="inlineStr">
        <is>
          <t>kr</t>
        </is>
      </c>
      <c r="E40" s="24" t="inlineStr">
        <is>
          <t>Input. Hentast frå: 4120, 4192, 4520-4529.</t>
        </is>
      </c>
      <c r="F40" s="32" t="n"/>
    </row>
    <row r="41">
      <c r="A41" s="20" t="inlineStr">
        <is>
          <t>Innkjøp dyr</t>
        </is>
      </c>
      <c r="B41" s="24" t="inlineStr">
        <is>
          <t>4600-4689</t>
        </is>
      </c>
      <c r="C41" s="31" t="n">
        <v>90000</v>
      </c>
      <c r="D41" s="12" t="inlineStr">
        <is>
          <t>kr</t>
        </is>
      </c>
      <c r="E41" s="24" t="inlineStr">
        <is>
          <t>Input. Hentast frå: 4600-4689.</t>
        </is>
      </c>
      <c r="F41" s="32" t="n"/>
    </row>
    <row r="42">
      <c r="A42" s="20" t="inlineStr">
        <is>
          <t>Andre variable kostnader</t>
        </is>
      </c>
      <c r="B42" s="24" t="inlineStr">
        <is>
          <t>4130-4139, 4193, 4530-4549, 4560-4569 + andre 4xxx</t>
        </is>
      </c>
      <c r="C42" s="31" t="n">
        <v>6000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kostnader'!C48</f>
        <v/>
      </c>
      <c r="D44" s="12" t="inlineStr">
        <is>
          <t>kr</t>
        </is>
      </c>
      <c r="E44" s="23" t="inlineStr">
        <is>
          <t>Maskinkostnader fordelt = Maskinkostnader – Mellomkalv [Faste kostnader!C48]</t>
        </is>
      </c>
      <c r="F44" s="24" t="inlineStr">
        <is>
          <t>='Faste kostnader'!C48</t>
        </is>
      </c>
    </row>
    <row r="45">
      <c r="A45" s="20" t="inlineStr">
        <is>
          <t>Innandørsmekanisering fordelt</t>
        </is>
      </c>
      <c r="B45" s="21" t="inlineStr">
        <is>
          <t>Lenkje frå anna ark</t>
        </is>
      </c>
      <c r="C45" s="13">
        <f>'Faste kostnader'!C67</f>
        <v/>
      </c>
      <c r="D45" s="12" t="inlineStr">
        <is>
          <t>kr</t>
        </is>
      </c>
      <c r="E45" s="23" t="inlineStr">
        <is>
          <t>Innandørsmekanisering fordelt = Innandørsmekanisering – Mellomkalv [Faste kostnader!C67]</t>
        </is>
      </c>
      <c r="F45" s="24" t="inlineStr">
        <is>
          <t>='Faste kostnader'!C67</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((Kalvar under 12 md pr 1.1. [C14] + Kalvar under 12 md pr 31.12. [C15]) / 8 + (Ungdyr over 12 md pr 1.1. [C12] + Ungdyr over 12 md pr 31.12. [C13]) / 4) / 2   (Vekting av dyretal (snitt 1.1. og 31.12.) – sjå formel)</t>
        </is>
      </c>
      <c r="F56" s="24" t="inlineStr">
        <is>
          <t>=((C14+C15)/8+(C12+C13)/4)/2</t>
        </is>
      </c>
    </row>
    <row r="57">
      <c r="A57" s="18" t="inlineStr">
        <is>
          <t>5. OUTPUT – Per eining (pr kalv)</t>
        </is>
      </c>
      <c r="B57" s="19" t="n"/>
      <c r="C57" s="19" t="n"/>
      <c r="D57" s="19" t="n"/>
      <c r="E57" s="19" t="n"/>
      <c r="F57" s="19" t="n"/>
    </row>
    <row r="58">
      <c r="A58" s="18" t="inlineStr">
        <is>
          <t>Produksjonsinntekter pr kalv</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kalvar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kalvar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kalvar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kalvar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kalvar [C7]</t>
        </is>
      </c>
      <c r="F63" s="24" t="inlineStr">
        <is>
          <t>=IF((C7)=0,0,(C47)/(C7))</t>
        </is>
      </c>
    </row>
    <row r="64">
      <c r="A64" s="18" t="inlineStr">
        <is>
          <t>Variable kostnader pr kalv</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kalvar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kalvar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kalvar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kalvar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kalvar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kalvar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kalvar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kalvar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kalvar [C7]</t>
        </is>
      </c>
      <c r="F73" s="24" t="inlineStr">
        <is>
          <t>=IF((C7)=0,0,(C52)/(C7))</t>
        </is>
      </c>
    </row>
    <row r="74">
      <c r="A74" s="18" t="inlineStr">
        <is>
          <t>Resultat pr kalv</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kalvar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kalvar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kalvar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kalvar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kalvar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kalvar [C7]</t>
        </is>
      </c>
      <c r="F80" s="24" t="inlineStr">
        <is>
          <t>=IF((C7)=0,0,(C55)/(C7))</t>
        </is>
      </c>
    </row>
    <row r="81">
      <c r="A81" s="18" t="inlineStr">
        <is>
          <t>6. OUTPUT – Nøkkeltal</t>
        </is>
      </c>
      <c r="B81" s="19" t="n"/>
      <c r="C81" s="19" t="n"/>
      <c r="D81" s="19" t="n"/>
      <c r="E81" s="19" t="n"/>
      <c r="F81" s="19" t="n"/>
    </row>
    <row r="82">
      <c r="A82" s="25" t="inlineStr">
        <is>
          <t>DB pr kalv u/tilskot</t>
        </is>
      </c>
      <c r="B82" s="26" t="inlineStr">
        <is>
          <t>Utrekna</t>
        </is>
      </c>
      <c r="C82" s="39">
        <f>IF((C7)=0,0,(C53)/(C7))</f>
        <v/>
      </c>
      <c r="D82" s="28" t="inlineStr">
        <is>
          <t>kr</t>
        </is>
      </c>
      <c r="E82" s="29" t="inlineStr">
        <is>
          <t>DB pr kalv u/tilskot = Dekningsbidrag (DB) utan tilskot [C53] ÷ Tal produserte kalvar [C7]</t>
        </is>
      </c>
      <c r="F82" s="30" t="inlineStr">
        <is>
          <t>=IF((C7)=0,0,(C53)/(C7))</t>
        </is>
      </c>
    </row>
    <row r="83">
      <c r="A83" s="25" t="inlineStr">
        <is>
          <t>DB pr kalv m/tilskot</t>
        </is>
      </c>
      <c r="B83" s="26" t="inlineStr">
        <is>
          <t>Utrekna</t>
        </is>
      </c>
      <c r="C83" s="39">
        <f>IF((C7)=0,0,(C54)/(C7))</f>
        <v/>
      </c>
      <c r="D83" s="28" t="inlineStr">
        <is>
          <t>kr</t>
        </is>
      </c>
      <c r="E83" s="29" t="inlineStr">
        <is>
          <t>DB pr kalv m/tilskot = Dekningsbidrag (DB) med tilskot [C54] ÷ Tal produserte kalvar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kalv (u/distriktstilskot)</t>
        </is>
      </c>
      <c r="B89" s="26" t="inlineStr">
        <is>
          <t>Utrekna</t>
        </is>
      </c>
      <c r="C89" s="39">
        <f>IF((C9)=0,0,(C21-C25)/(C9))</f>
        <v/>
      </c>
      <c r="D89" s="28" t="inlineStr">
        <is>
          <t>kr</t>
        </is>
      </c>
      <c r="E89" s="29" t="inlineStr">
        <is>
          <t>Snitt slaktepris pr kalv (u/distriktstilskot) = (Slakt [C21] − Herav distriktstilskot kjøt [C25]) ÷ Tal slakta kalvar [C9]</t>
        </is>
      </c>
      <c r="F89" s="30" t="inlineStr">
        <is>
          <t>=IF((C9)=0,0,(C21-C25)/(C9))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kalv</t>
        </is>
      </c>
      <c r="B91" s="26" t="inlineStr">
        <is>
          <t>Utrekna</t>
        </is>
      </c>
      <c r="C91" s="39">
        <f>IF((C9)=0,0,(C21)/(C9))-IF((C11)=0,0,(C41)/(C11))</f>
        <v/>
      </c>
      <c r="D91" s="28" t="inlineStr">
        <is>
          <t>kr</t>
        </is>
      </c>
      <c r="E91" s="29" t="inlineStr">
        <is>
          <t>Slaktepris – kjøpspris pr kalv = Slakt [C21] ÷ Tal slakta kalvar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kalv (kg)</t>
        </is>
      </c>
      <c r="B93" s="26" t="inlineStr">
        <is>
          <t>Utrekna</t>
        </is>
      </c>
      <c r="C93" s="37">
        <f>IF((C9)=0,0,(C8)/(C9))</f>
        <v/>
      </c>
      <c r="D93" s="28" t="inlineStr">
        <is>
          <t>kg</t>
        </is>
      </c>
      <c r="E93" s="29" t="inlineStr">
        <is>
          <t>Slaktevekt pr kalv (kg) = Kg slakt [C8] ÷ Tal slakta kalvar [C9]</t>
        </is>
      </c>
      <c r="F93" s="30" t="inlineStr">
        <is>
          <t>=IF((C9)=0,0,(C8)/(C9))</t>
        </is>
      </c>
    </row>
    <row r="94">
      <c r="A94" s="25" t="inlineStr">
        <is>
          <t>Innandørsmekanisering pr kalv</t>
        </is>
      </c>
      <c r="B94" s="26" t="inlineStr">
        <is>
          <t>Utrekna</t>
        </is>
      </c>
      <c r="C94" s="39">
        <f>IF((C7)=0,0,(C45)/(C7))</f>
        <v/>
      </c>
      <c r="D94" s="28" t="inlineStr">
        <is>
          <t>kr</t>
        </is>
      </c>
      <c r="E94" s="29" t="inlineStr">
        <is>
          <t>Innandørsmekanisering pr kalv = Innandørsmekanisering fordelt [C45] ÷ Tal produserte kalvar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5"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20" t="inlineStr">
        <is>
          <t>Fôrnorm beite (FEm)</t>
        </is>
      </c>
      <c r="B21" s="24" t="inlineStr">
        <is>
          <t>Fôrnorm pr ammeku og år (jf. marginalanalysen). Brukt til arealbehov og fordelingsnøklar</t>
        </is>
      </c>
      <c r="C21" s="31" t="n">
        <v>2013</v>
      </c>
      <c r="D21" s="12" t="inlineStr">
        <is>
          <t>FEm</t>
        </is>
      </c>
      <c r="E21" s="24" t="inlineStr">
        <is>
          <t>Input. Hentast frå: Fôrnorm pr ammeku og år (jf. marginalanalysen). Brukt til arealbehov og fordelingsnøklar.</t>
        </is>
      </c>
      <c r="F21" s="32" t="n"/>
    </row>
    <row r="22">
      <c r="A22" s="20" t="inlineStr">
        <is>
          <t>Fôrnorm eige grovfôr vinter (FEm)</t>
        </is>
      </c>
      <c r="B22" s="24" t="inlineStr">
        <is>
          <t>Fôrnorm pr ammeku og år (jf. marginalanalysen). Brukt til arealbehov og fordelingsnøklar</t>
        </is>
      </c>
      <c r="C22" s="31" t="n">
        <v>2468</v>
      </c>
      <c r="D22" s="12" t="inlineStr">
        <is>
          <t>FEm</t>
        </is>
      </c>
      <c r="E22" s="24" t="inlineStr">
        <is>
          <t>Input. Hentast frå: Fôrnorm pr ammeku og år (jf. marginalanalysen). Brukt til arealbehov og fordelingsnøklar.</t>
        </is>
      </c>
      <c r="F22" s="32" t="n"/>
    </row>
    <row r="23">
      <c r="A23" s="20" t="inlineStr">
        <is>
          <t>Fôrnorm kraftfôr (FEm)</t>
        </is>
      </c>
      <c r="B23" s="24" t="inlineStr">
        <is>
          <t>Fôrnorm pr ammeku og år (jf. marginalanalysen). Brukt til arealbehov og fordelingsnøklar</t>
        </is>
      </c>
      <c r="C23" s="31" t="n">
        <v>605</v>
      </c>
      <c r="D23" s="12" t="inlineStr">
        <is>
          <t>FEm</t>
        </is>
      </c>
      <c r="E23" s="24" t="inlineStr">
        <is>
          <t>Input. Hentast frå: Fôrnorm pr ammeku og år (jf. marginalanalysen). Brukt til arealbehov og fordelingsnøklar.</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287735.22</v>
      </c>
      <c r="D25" s="12" t="inlineStr">
        <is>
          <t>kr</t>
        </is>
      </c>
      <c r="E25" s="24" t="inlineStr">
        <is>
          <t>Input. Hentast frå: 34xx (ikkje 344x avløysartilskot).</t>
        </is>
      </c>
      <c r="F25" s="32" t="n"/>
    </row>
    <row r="26">
      <c r="A26" s="20" t="inlineStr">
        <is>
          <t>Livdyrsal</t>
        </is>
      </c>
      <c r="B26" s="24" t="inlineStr">
        <is>
          <t>3050-3059</t>
        </is>
      </c>
      <c r="C26" s="31" t="n">
        <v>142310.5</v>
      </c>
      <c r="D26" s="12" t="inlineStr">
        <is>
          <t>kr</t>
        </is>
      </c>
      <c r="E26" s="24" t="inlineStr">
        <is>
          <t>Input. Hentast frå: 3050-3059.</t>
        </is>
      </c>
      <c r="F26" s="32" t="n"/>
    </row>
    <row r="27">
      <c r="A27" s="20" t="inlineStr">
        <is>
          <t>Slakt</t>
        </is>
      </c>
      <c r="B27" s="24" t="inlineStr">
        <is>
          <t>3040-3049, 3162, 3172, 3078</t>
        </is>
      </c>
      <c r="C27" s="31" t="n">
        <v>94047.03999999999</v>
      </c>
      <c r="D27" s="12" t="inlineStr">
        <is>
          <t>kr</t>
        </is>
      </c>
      <c r="E27" s="24" t="inlineStr">
        <is>
          <t>Input. Hentast frå: 3040-3049, 3162, 3172, 3078.</t>
        </is>
      </c>
      <c r="F27" s="32" t="n"/>
    </row>
    <row r="28">
      <c r="A28" s="20" t="inlineStr">
        <is>
          <t>Buskap, beholdningsendring (+ = auke)</t>
        </is>
      </c>
      <c r="B28" s="24" t="inlineStr">
        <is>
          <t>4690-4698 (forteikn snudd)</t>
        </is>
      </c>
      <c r="C28" s="31" t="n">
        <v>99100</v>
      </c>
      <c r="D28" s="12" t="inlineStr">
        <is>
          <t>kr</t>
        </is>
      </c>
      <c r="E28" s="24" t="inlineStr">
        <is>
          <t>Input. Hentast frå: 4690-4698 (forteikn snudd).</t>
        </is>
      </c>
      <c r="F28" s="32" t="n"/>
    </row>
    <row r="29">
      <c r="A29" s="20" t="inlineStr">
        <is>
          <t>Andre inntekter</t>
        </is>
      </c>
      <c r="B29" s="24" t="inlineStr">
        <is>
          <t>andre 3xxx kopla til produksjonen</t>
        </is>
      </c>
      <c r="C29" s="31" t="n">
        <v>0</v>
      </c>
      <c r="D29" s="12" t="inlineStr">
        <is>
          <t>kr</t>
        </is>
      </c>
      <c r="E29" s="24" t="inlineStr">
        <is>
          <t>Input. Hentast frå: andre 3xxx kopla til produksjonen.</t>
        </is>
      </c>
      <c r="F29" s="32" t="n"/>
    </row>
    <row r="30">
      <c r="A30" s="20" t="inlineStr">
        <is>
          <t>Herav distriktstilskot kjøt</t>
        </is>
      </c>
      <c r="B30" s="24" t="inlineStr">
        <is>
          <t>3047 Slakt, distriktstilskot (del av slakteinntekta)</t>
        </is>
      </c>
      <c r="C30" s="31" t="n">
        <v>0</v>
      </c>
      <c r="D30" s="12" t="inlineStr">
        <is>
          <t>kr</t>
        </is>
      </c>
      <c r="E30" s="24" t="inlineStr">
        <is>
          <t>Input. Hentast frå: 3047 Slakt, distriktstilskot (del av slakteinntekta). Er med i beløpet over, brukt berre til prisutrekning.</t>
        </is>
      </c>
      <c r="F30" s="32" t="n"/>
    </row>
    <row r="31">
      <c r="A31" s="18" t="inlineStr">
        <is>
          <t>Variable kostnader – eigen grovfôrproduksjon</t>
        </is>
      </c>
      <c r="B31" s="19" t="n"/>
      <c r="C31" s="19" t="n"/>
      <c r="D31" s="19" t="n"/>
      <c r="E31" s="19" t="n"/>
      <c r="F31" s="19" t="n"/>
    </row>
    <row r="32">
      <c r="A32" s="20" t="inlineStr">
        <is>
          <t>Såfrø / grasfrø</t>
        </is>
      </c>
      <c r="B32" s="24" t="inlineStr">
        <is>
          <t>4001</t>
        </is>
      </c>
      <c r="C32" s="31" t="n">
        <v>5099</v>
      </c>
      <c r="D32" s="12" t="inlineStr">
        <is>
          <t>kr</t>
        </is>
      </c>
      <c r="E32" s="24" t="inlineStr">
        <is>
          <t>Input. Hentast frå: 4001.</t>
        </is>
      </c>
      <c r="F32" s="32" t="n"/>
    </row>
    <row r="33">
      <c r="A33" s="20" t="inlineStr">
        <is>
          <t>Plantevernmiddel</t>
        </is>
      </c>
      <c r="B33" s="24" t="inlineStr">
        <is>
          <t>4110, 4191</t>
        </is>
      </c>
      <c r="C33" s="31" t="n">
        <v>2736.62</v>
      </c>
      <c r="D33" s="12" t="inlineStr">
        <is>
          <t>kr</t>
        </is>
      </c>
      <c r="E33" s="24" t="inlineStr">
        <is>
          <t>Input. Hentast frå: 4110, 4191.</t>
        </is>
      </c>
      <c r="F33" s="32" t="n"/>
    </row>
    <row r="34">
      <c r="A34" s="20" t="inlineStr">
        <is>
          <t>Rundballeplast mm.</t>
        </is>
      </c>
      <c r="B34" s="24" t="inlineStr">
        <is>
          <t>4140, 4194</t>
        </is>
      </c>
      <c r="C34" s="31" t="n">
        <v>14760</v>
      </c>
      <c r="D34" s="12" t="inlineStr">
        <is>
          <t>kr</t>
        </is>
      </c>
      <c r="E34" s="24" t="inlineStr">
        <is>
          <t>Input. Hentast frå: 4140, 4194.</t>
        </is>
      </c>
      <c r="F34" s="32" t="n"/>
    </row>
    <row r="35">
      <c r="A35" s="20" t="inlineStr">
        <is>
          <t>Handelsgjødsel</t>
        </is>
      </c>
      <c r="B35" s="24" t="inlineStr">
        <is>
          <t>4050, 4095</t>
        </is>
      </c>
      <c r="C35" s="31" t="n">
        <v>42759.04</v>
      </c>
      <c r="D35" s="12" t="inlineStr">
        <is>
          <t>kr</t>
        </is>
      </c>
      <c r="E35" s="24" t="inlineStr">
        <is>
          <t>Input. Hentast frå: 4050, 4095.</t>
        </is>
      </c>
      <c r="F35" s="32" t="n"/>
    </row>
    <row r="36">
      <c r="A36" s="20" t="inlineStr">
        <is>
          <t>Kalk</t>
        </is>
      </c>
      <c r="B36" s="24" t="inlineStr">
        <is>
          <t>4057</t>
        </is>
      </c>
      <c r="C36" s="31" t="n">
        <v>5691.36</v>
      </c>
      <c r="D36" s="12" t="inlineStr">
        <is>
          <t>kr</t>
        </is>
      </c>
      <c r="E36" s="24" t="inlineStr">
        <is>
          <t>Input. Hentast frå: 4057.</t>
        </is>
      </c>
      <c r="F36" s="32" t="n"/>
    </row>
    <row r="37">
      <c r="A37" s="20" t="inlineStr">
        <is>
          <t>Konserveringsmiddel</t>
        </is>
      </c>
      <c r="B37" s="24" t="inlineStr">
        <is>
          <t>4080, 4098</t>
        </is>
      </c>
      <c r="C37" s="31" t="n">
        <v>4969.2</v>
      </c>
      <c r="D37" s="12" t="inlineStr">
        <is>
          <t>kr</t>
        </is>
      </c>
      <c r="E37" s="24" t="inlineStr">
        <is>
          <t>Input. Hentast frå: 4080, 4098.</t>
        </is>
      </c>
      <c r="F37" s="32" t="n"/>
    </row>
    <row r="38">
      <c r="A38" s="20" t="inlineStr">
        <is>
          <t>Endring anna varelager (variable kostn.)</t>
        </is>
      </c>
      <c r="B38" s="24" t="inlineStr">
        <is>
          <t>4090</t>
        </is>
      </c>
      <c r="C38" s="31" t="n">
        <v>0</v>
      </c>
      <c r="D38" s="12" t="inlineStr">
        <is>
          <t>kr</t>
        </is>
      </c>
      <c r="E38" s="24" t="inlineStr">
        <is>
          <t>Input. Hentast frå: 4090.</t>
        </is>
      </c>
      <c r="F38" s="32" t="n"/>
    </row>
    <row r="39">
      <c r="A39" s="20" t="inlineStr">
        <is>
          <t>Endring eigenprodusert grovfôr (+ = nedgang i lager)</t>
        </is>
      </c>
      <c r="B39" s="24" t="inlineStr">
        <is>
          <t>4297</t>
        </is>
      </c>
      <c r="C39" s="31" t="n">
        <v>19021</v>
      </c>
      <c r="D39" s="12" t="inlineStr">
        <is>
          <t>kr</t>
        </is>
      </c>
      <c r="E39" s="24" t="inlineStr">
        <is>
          <t>Input. Hentast frå: 4297.</t>
        </is>
      </c>
      <c r="F39" s="32" t="n"/>
    </row>
    <row r="40">
      <c r="A40" s="18" t="inlineStr">
        <is>
          <t>Variable kostnader – anna</t>
        </is>
      </c>
      <c r="B40" s="19" t="n"/>
      <c r="C40" s="19" t="n"/>
      <c r="D40" s="19" t="n"/>
      <c r="E40" s="19" t="n"/>
      <c r="F40" s="19" t="n"/>
    </row>
    <row r="41">
      <c r="A41" s="20" t="inlineStr">
        <is>
          <t>Kjøp grovfôr</t>
        </is>
      </c>
      <c r="B41" s="24" t="inlineStr">
        <is>
          <t>4030</t>
        </is>
      </c>
      <c r="C41" s="31" t="n">
        <v>643.2</v>
      </c>
      <c r="D41" s="12" t="inlineStr">
        <is>
          <t>kr</t>
        </is>
      </c>
      <c r="E41" s="24" t="inlineStr">
        <is>
          <t>Input. Hentast frå: 4030.</t>
        </is>
      </c>
      <c r="F41" s="32" t="n"/>
    </row>
    <row r="42">
      <c r="A42" s="20" t="inlineStr">
        <is>
          <t>Beiteleige / dyr på beite</t>
        </is>
      </c>
      <c r="B42" s="24" t="inlineStr">
        <is>
          <t>4031</t>
        </is>
      </c>
      <c r="C42" s="31" t="n">
        <v>0</v>
      </c>
      <c r="D42" s="12" t="inlineStr">
        <is>
          <t>kr</t>
        </is>
      </c>
      <c r="E42" s="24" t="inlineStr">
        <is>
          <t>Input. Hentast frå: 4031.</t>
        </is>
      </c>
      <c r="F42" s="32" t="n"/>
    </row>
    <row r="43">
      <c r="A43" s="20" t="inlineStr">
        <is>
          <t>Endring innkjøpt grovfôrlager</t>
        </is>
      </c>
      <c r="B43" s="24" t="inlineStr">
        <is>
          <t>4093</t>
        </is>
      </c>
      <c r="C43" s="31" t="n">
        <v>0</v>
      </c>
      <c r="D43" s="12" t="inlineStr">
        <is>
          <t>kr</t>
        </is>
      </c>
      <c r="E43" s="24" t="inlineStr">
        <is>
          <t>Input. Hentast frå: 4093.</t>
        </is>
      </c>
      <c r="F43" s="32" t="n"/>
    </row>
    <row r="44">
      <c r="A44" s="20" t="inlineStr">
        <is>
          <t>Kraftfôr mm.</t>
        </is>
      </c>
      <c r="B44" s="24" t="inlineStr">
        <is>
          <t>4020-4029, 4040-4049, 4092, 4094</t>
        </is>
      </c>
      <c r="C44" s="31" t="n">
        <v>55861.22</v>
      </c>
      <c r="D44" s="12" t="inlineStr">
        <is>
          <t>kr</t>
        </is>
      </c>
      <c r="E44" s="24" t="inlineStr">
        <is>
          <t>Input. Hentast frå: 4020-4029, 4040-4049, 4092, 4094.</t>
        </is>
      </c>
      <c r="F44" s="32" t="n"/>
    </row>
    <row r="45">
      <c r="A45" s="20" t="inlineStr">
        <is>
          <t>Veterinær, medisin, semin mm.</t>
        </is>
      </c>
      <c r="B45" s="24" t="inlineStr">
        <is>
          <t>4120, 4192, 4520-4529</t>
        </is>
      </c>
      <c r="C45" s="31" t="n">
        <v>31948.8</v>
      </c>
      <c r="D45" s="12" t="inlineStr">
        <is>
          <t>kr</t>
        </is>
      </c>
      <c r="E45" s="24" t="inlineStr">
        <is>
          <t>Input. Hentast frå: 4120, 4192, 4520-4529.</t>
        </is>
      </c>
      <c r="F45" s="32" t="n"/>
    </row>
    <row r="46">
      <c r="A46" s="20" t="inlineStr">
        <is>
          <t>Innkjøp dyr</t>
        </is>
      </c>
      <c r="B46" s="24" t="inlineStr">
        <is>
          <t>4600-4689</t>
        </is>
      </c>
      <c r="C46" s="31" t="n">
        <v>21960</v>
      </c>
      <c r="D46" s="12" t="inlineStr">
        <is>
          <t>kr</t>
        </is>
      </c>
      <c r="E46" s="24" t="inlineStr">
        <is>
          <t>Input. Hentast frå: 4600-4689.</t>
        </is>
      </c>
      <c r="F46" s="32" t="n"/>
    </row>
    <row r="47">
      <c r="A47" s="20" t="inlineStr">
        <is>
          <t>Andre variable kostnader</t>
        </is>
      </c>
      <c r="B47" s="24" t="inlineStr">
        <is>
          <t>4130-4139, 4193, 4530-4549, 4560-4569 + andre 4xxx</t>
        </is>
      </c>
      <c r="C47" s="31" t="n">
        <v>26689.6</v>
      </c>
      <c r="D47" s="12" t="inlineStr">
        <is>
          <t>kr</t>
        </is>
      </c>
      <c r="E47" s="24" t="inlineStr">
        <is>
          <t>Input. Hentast frå: 4130-4139, 4193, 4530-4549, 4560-4569 + andre 4xxx.</t>
        </is>
      </c>
      <c r="F47" s="32" t="n"/>
    </row>
    <row r="48">
      <c r="A48" s="18" t="inlineStr">
        <is>
          <t>3. INPUT – Fordelte faste kostnader (lenka frå arket «Faste kostnader»)</t>
        </is>
      </c>
      <c r="B48" s="19" t="n"/>
      <c r="C48" s="19" t="n"/>
      <c r="D48" s="19" t="n"/>
      <c r="E48" s="19" t="n"/>
      <c r="F48" s="19" t="n"/>
    </row>
    <row r="49">
      <c r="A49" s="20" t="inlineStr">
        <is>
          <t>Maskinkostnader fordelt</t>
        </is>
      </c>
      <c r="B49" s="21" t="inlineStr">
        <is>
          <t>Lenkje frå anna ark</t>
        </is>
      </c>
      <c r="C49" s="13">
        <f>'Faste kostnader'!C49</f>
        <v/>
      </c>
      <c r="D49" s="12" t="inlineStr">
        <is>
          <t>kr</t>
        </is>
      </c>
      <c r="E49" s="23" t="inlineStr">
        <is>
          <t>Maskinkostnader fordelt = Maskinkostnader – Ammekyr [Faste kostnader!C49]</t>
        </is>
      </c>
      <c r="F49" s="24" t="inlineStr">
        <is>
          <t>='Faste kostnader'!C49</t>
        </is>
      </c>
    </row>
    <row r="50">
      <c r="A50" s="20" t="inlineStr">
        <is>
          <t>Innandørsmekanisering fordelt</t>
        </is>
      </c>
      <c r="B50" s="21" t="inlineStr">
        <is>
          <t>Lenkje frå anna ark</t>
        </is>
      </c>
      <c r="C50" s="13">
        <f>'Faste kostnader'!C68</f>
        <v/>
      </c>
      <c r="D50" s="12" t="inlineStr">
        <is>
          <t>kr</t>
        </is>
      </c>
      <c r="E50" s="23" t="inlineStr">
        <is>
          <t>Innandørsmekanisering fordelt = Innandørsmekanisering – Ammekyr [Faste kostnader!C68]</t>
        </is>
      </c>
      <c r="F50" s="24" t="inlineStr">
        <is>
          <t>='Faste kostnader'!C68</t>
        </is>
      </c>
    </row>
    <row r="51">
      <c r="A51" s="18" t="inlineStr">
        <is>
          <t>4. UTREKNING – Totalt for produksjonen</t>
        </is>
      </c>
      <c r="B51" s="19" t="n"/>
      <c r="C51" s="19" t="n"/>
      <c r="D51" s="19" t="n"/>
      <c r="E51" s="19" t="n"/>
      <c r="F51" s="19" t="n"/>
    </row>
    <row r="52">
      <c r="A52" s="20" t="inlineStr">
        <is>
          <t>Produksjonsinntekter i alt</t>
        </is>
      </c>
      <c r="B52" s="21" t="inlineStr">
        <is>
          <t>Utrekna</t>
        </is>
      </c>
      <c r="C52" s="22">
        <f>C26+C27+C28+C29</f>
        <v/>
      </c>
      <c r="D52" s="12" t="inlineStr">
        <is>
          <t>kr</t>
        </is>
      </c>
      <c r="E52" s="23" t="inlineStr">
        <is>
          <t>Produksjonsinntekter i alt = Livdyrsal [C26] + Slakt [C27] + Buskap, beholdningsendring (+ = auke) [C28] + Andre inntekter [C29]</t>
        </is>
      </c>
      <c r="F52" s="24" t="inlineStr">
        <is>
          <t>=C26+C27+C28+C29</t>
        </is>
      </c>
    </row>
    <row r="53">
      <c r="A53" s="20" t="inlineStr">
        <is>
          <t>Eigen grovfôr – sum variable kostnader</t>
        </is>
      </c>
      <c r="B53" s="21" t="inlineStr">
        <is>
          <t>Utrekna</t>
        </is>
      </c>
      <c r="C53" s="22">
        <f>C32+C33+C34+C35+C36+C37+C38+C39</f>
        <v/>
      </c>
      <c r="D53" s="12" t="inlineStr">
        <is>
          <t>kr</t>
        </is>
      </c>
      <c r="E53" s="23" t="inlineStr">
        <is>
          <t>Eigen grovfôr – sum variable kostnader = Såfrø / grasfrø [C32] + Plantevernmiddel [C33] + Rundballeplast mm. [C34] + Handelsgjødsel [C35] + Kalk [C36] + Konserveringsmiddel [C37] + Endring anna varelager (variable kostn.) [C38] + Endring eigenprodusert grovfôr (+ = nedgang i lager) [C39]</t>
        </is>
      </c>
      <c r="F53" s="24" t="inlineStr">
        <is>
          <t>=C32+C33+C34+C35+C36+C37+C38+C39</t>
        </is>
      </c>
    </row>
    <row r="54">
      <c r="A54" s="20" t="inlineStr">
        <is>
          <t>Variabel grovfôrkostnad (utan plast og lagerendring eigenprodusert)</t>
        </is>
      </c>
      <c r="B54" s="21" t="inlineStr">
        <is>
          <t>Utrekna</t>
        </is>
      </c>
      <c r="C54" s="22">
        <f>C32+C33+C35+C36+C37+C38</f>
        <v/>
      </c>
      <c r="D54" s="12" t="inlineStr">
        <is>
          <t>kr</t>
        </is>
      </c>
      <c r="E54" s="23" t="inlineStr">
        <is>
          <t>Variabel grovfôrkostnad (utan plast og lagerendring eigenprodusert) = Såfrø / grasfrø [C32] + Plantevernmiddel [C33] + Handelsgjødsel [C35] + Kalk [C36] + Konserveringsmiddel [C37] + Endring anna varelager (variable kostn.) [C38]   (Brukt i «Variabel grovfôrkostnad pr dekar» – same utval som eksempelanalysen)</t>
        </is>
      </c>
      <c r="F54" s="24" t="inlineStr">
        <is>
          <t>=C32+C33+C35+C36+C37+C38</t>
        </is>
      </c>
    </row>
    <row r="55">
      <c r="A55" s="20" t="inlineStr">
        <is>
          <t>Sum eigen grovfôrproduksjon (utan lagerendring)</t>
        </is>
      </c>
      <c r="B55" s="21" t="inlineStr">
        <is>
          <t>Utrekna</t>
        </is>
      </c>
      <c r="C55" s="22">
        <f>C53-C39</f>
        <v/>
      </c>
      <c r="D55" s="12" t="inlineStr">
        <is>
          <t>kr</t>
        </is>
      </c>
      <c r="E55" s="23" t="inlineStr">
        <is>
          <t>Sum eigen grovfôrproduksjon (utan lagerendring) = Eigen grovfôr – sum variable kostnader [C53] − Endring eigenprodusert grovfôr (+ = nedgang i lager) [C39]   (Brukt til å fordele grovfôrarealet mellom produksjonane)</t>
        </is>
      </c>
      <c r="F55" s="24" t="inlineStr">
        <is>
          <t>=C53-C39</t>
        </is>
      </c>
    </row>
    <row r="56">
      <c r="A56" s="20" t="inlineStr">
        <is>
          <t>Grovfôr – kostnad i alt</t>
        </is>
      </c>
      <c r="B56" s="21" t="inlineStr">
        <is>
          <t>Utrekna</t>
        </is>
      </c>
      <c r="C56" s="22">
        <f>C53+C41+C43</f>
        <v/>
      </c>
      <c r="D56" s="12" t="inlineStr">
        <is>
          <t>kr</t>
        </is>
      </c>
      <c r="E56" s="23" t="inlineStr">
        <is>
          <t>Grovfôr – kostnad i alt = Eigen grovfôr – sum variable kostnader [C53] + Kjøp grovfôr [C41] + Endring innkjøpt grovfôrlager [C43]</t>
        </is>
      </c>
      <c r="F56" s="24" t="inlineStr">
        <is>
          <t>=C53+C41+C43</t>
        </is>
      </c>
    </row>
    <row r="57">
      <c r="A57" s="20" t="inlineStr">
        <is>
          <t>Variable kostnader i alt</t>
        </is>
      </c>
      <c r="B57" s="21" t="inlineStr">
        <is>
          <t>Utrekna</t>
        </is>
      </c>
      <c r="C57" s="22">
        <f>C56+C42+C44+C45+C46+C47</f>
        <v/>
      </c>
      <c r="D57" s="12" t="inlineStr">
        <is>
          <t>kr</t>
        </is>
      </c>
      <c r="E57" s="23" t="inlineStr">
        <is>
          <t>Variable kostnader i alt = Grovfôr – kostnad i alt [C56] + Beiteleige / dyr på beite [C42] + Kraftfôr mm. [C44] + Veterinær, medisin, semin mm. [C45] + Innkjøp dyr [C46] + Andre variable kostnader [C47]</t>
        </is>
      </c>
      <c r="F57" s="24" t="inlineStr">
        <is>
          <t>=C56+C42+C44+C45+C46+C47</t>
        </is>
      </c>
    </row>
    <row r="58">
      <c r="A58" s="25" t="inlineStr">
        <is>
          <t>Dekningsbidrag (DB) utan tilskot</t>
        </is>
      </c>
      <c r="B58" s="26" t="inlineStr">
        <is>
          <t>Utrekna</t>
        </is>
      </c>
      <c r="C58" s="27">
        <f>C52-C57</f>
        <v/>
      </c>
      <c r="D58" s="28" t="inlineStr">
        <is>
          <t>kr</t>
        </is>
      </c>
      <c r="E58" s="29" t="inlineStr">
        <is>
          <t>Dekningsbidrag (DB) utan tilskot = Produksjonsinntekter i alt [C52] − Variable kostnader i alt [C57]</t>
        </is>
      </c>
      <c r="F58" s="30" t="inlineStr">
        <is>
          <t>=C52-C57</t>
        </is>
      </c>
    </row>
    <row r="59">
      <c r="A59" s="25" t="inlineStr">
        <is>
          <t>Dekningsbidrag (DB) med tilskot</t>
        </is>
      </c>
      <c r="B59" s="26" t="inlineStr">
        <is>
          <t>Utrekna</t>
        </is>
      </c>
      <c r="C59" s="27">
        <f>C58+C25</f>
        <v/>
      </c>
      <c r="D59" s="28" t="inlineStr">
        <is>
          <t>kr</t>
        </is>
      </c>
      <c r="E59" s="29" t="inlineStr">
        <is>
          <t>Dekningsbidrag (DB) med tilskot = Dekningsbidrag (DB) utan tilskot [C58] + Produksjonstilskot fordelt på produksjonen [C25]</t>
        </is>
      </c>
      <c r="F59" s="30" t="inlineStr">
        <is>
          <t>=C58+C25</t>
        </is>
      </c>
    </row>
    <row r="60">
      <c r="A60" s="20" t="inlineStr">
        <is>
          <t>DB m/tilskot etter maskin- og innandørskostnad</t>
        </is>
      </c>
      <c r="B60" s="21" t="inlineStr">
        <is>
          <t>Utrekna</t>
        </is>
      </c>
      <c r="C60" s="22">
        <f>C59-C49-C50</f>
        <v/>
      </c>
      <c r="D60" s="12" t="inlineStr">
        <is>
          <t>kr</t>
        </is>
      </c>
      <c r="E60" s="23" t="inlineStr">
        <is>
          <t>DB m/tilskot etter maskin- og innandørskostnad = Dekningsbidrag (DB) med tilskot [C59] − Maskinkostnader fordelt [C49] − Innandørsmekanisering fordelt [C50]</t>
        </is>
      </c>
      <c r="F60" s="24" t="inlineStr">
        <is>
          <t>=C59-C49-C50</t>
        </is>
      </c>
    </row>
    <row r="61">
      <c r="A61" s="20" t="inlineStr">
        <is>
          <t>«Kueiningar»</t>
        </is>
      </c>
      <c r="B61" s="21" t="inlineStr">
        <is>
          <t>Utrekna</t>
        </is>
      </c>
      <c r="C61" s="38">
        <f>((C8+C9+C10+C11)+(C12+C13)/3+(C14+C15)/4)/2</f>
        <v/>
      </c>
      <c r="D61" s="12" t="inlineStr">
        <is>
          <t>stk</t>
        </is>
      </c>
      <c r="E61"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61" s="24" t="inlineStr">
        <is>
          <t>=((C8+C9+C10+C11)+(C12+C13)/3+(C14+C15)/4)/2</t>
        </is>
      </c>
    </row>
    <row r="62">
      <c r="A62" s="20" t="inlineStr">
        <is>
          <t>Påsettprosent</t>
        </is>
      </c>
      <c r="B62" s="21" t="inlineStr">
        <is>
          <t>Utrekna</t>
        </is>
      </c>
      <c r="C62" s="35">
        <f>IF((C8+C9)=0,0,((C10+C11+C12+C13+C14+C15)/2)/(C8+C9))</f>
        <v/>
      </c>
      <c r="D62" s="12" t="inlineStr">
        <is>
          <t>%</t>
        </is>
      </c>
      <c r="E62"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62" s="24" t="inlineStr">
        <is>
          <t>=IF((C8+C9)=0,0,((C10+C11+C12+C13+C14+C15)/2)/(C8+C9))</t>
        </is>
      </c>
    </row>
    <row r="63">
      <c r="A63" s="18" t="inlineStr">
        <is>
          <t>5. OUTPUT – Per eining (pr ammeku)</t>
        </is>
      </c>
      <c r="B63" s="19" t="n"/>
      <c r="C63" s="19" t="n"/>
      <c r="D63" s="19" t="n"/>
      <c r="E63" s="19" t="n"/>
      <c r="F63" s="19" t="n"/>
    </row>
    <row r="64">
      <c r="A64" s="18" t="inlineStr">
        <is>
          <t>Produksjonsinntekter pr ammeku</t>
        </is>
      </c>
      <c r="B64" s="19" t="n"/>
      <c r="C64" s="19" t="n"/>
      <c r="D64" s="19" t="n"/>
      <c r="E64" s="19" t="n"/>
      <c r="F64" s="19" t="n"/>
    </row>
    <row r="65">
      <c r="A65" s="20" t="inlineStr">
        <is>
          <t>Livdyrsal</t>
        </is>
      </c>
      <c r="B65" s="21" t="inlineStr">
        <is>
          <t>Utrekna</t>
        </is>
      </c>
      <c r="C65" s="38">
        <f>IF((C7)=0,0,(C26)/(C7))</f>
        <v/>
      </c>
      <c r="D65" s="12" t="inlineStr">
        <is>
          <t>kr</t>
        </is>
      </c>
      <c r="E65" s="23" t="inlineStr">
        <is>
          <t>Livdyrsal = Livdyrsal [C26] ÷ Tal ammekyr [C7]</t>
        </is>
      </c>
      <c r="F65" s="24" t="inlineStr">
        <is>
          <t>=IF((C7)=0,0,(C26)/(C7))</t>
        </is>
      </c>
    </row>
    <row r="66">
      <c r="A66" s="20" t="inlineStr">
        <is>
          <t>Slakt</t>
        </is>
      </c>
      <c r="B66" s="21" t="inlineStr">
        <is>
          <t>Utrekna</t>
        </is>
      </c>
      <c r="C66" s="38">
        <f>IF((C7)=0,0,(C27)/(C7))</f>
        <v/>
      </c>
      <c r="D66" s="12" t="inlineStr">
        <is>
          <t>kr</t>
        </is>
      </c>
      <c r="E66" s="23" t="inlineStr">
        <is>
          <t>Slakt = Slakt [C27] ÷ Tal ammekyr [C7]</t>
        </is>
      </c>
      <c r="F66" s="24" t="inlineStr">
        <is>
          <t>=IF((C7)=0,0,(C27)/(C7))</t>
        </is>
      </c>
    </row>
    <row r="67">
      <c r="A67" s="20" t="inlineStr">
        <is>
          <t>Buskap, beholdningsendring (+ = auke)</t>
        </is>
      </c>
      <c r="B67" s="21" t="inlineStr">
        <is>
          <t>Utrekna</t>
        </is>
      </c>
      <c r="C67" s="38">
        <f>IF((C7)=0,0,(C28)/(C7))</f>
        <v/>
      </c>
      <c r="D67" s="12" t="inlineStr">
        <is>
          <t>kr</t>
        </is>
      </c>
      <c r="E67" s="23" t="inlineStr">
        <is>
          <t>Buskap, beholdningsendring (+ = auke) = Buskap, beholdningsendring (+ = auke) [C28] ÷ Tal ammekyr [C7]</t>
        </is>
      </c>
      <c r="F67" s="24" t="inlineStr">
        <is>
          <t>=IF((C7)=0,0,(C28)/(C7))</t>
        </is>
      </c>
    </row>
    <row r="68">
      <c r="A68" s="20" t="inlineStr">
        <is>
          <t>Andre inntekter</t>
        </is>
      </c>
      <c r="B68" s="21" t="inlineStr">
        <is>
          <t>Utrekna</t>
        </is>
      </c>
      <c r="C68" s="38">
        <f>IF((C7)=0,0,(C29)/(C7))</f>
        <v/>
      </c>
      <c r="D68" s="12" t="inlineStr">
        <is>
          <t>kr</t>
        </is>
      </c>
      <c r="E68" s="23" t="inlineStr">
        <is>
          <t>Andre inntekter = Andre inntekter [C29] ÷ Tal ammekyr [C7]</t>
        </is>
      </c>
      <c r="F68" s="24" t="inlineStr">
        <is>
          <t>=IF((C7)=0,0,(C29)/(C7))</t>
        </is>
      </c>
    </row>
    <row r="69">
      <c r="A69" s="20" t="inlineStr">
        <is>
          <t>Produksjonsinntekter i alt</t>
        </is>
      </c>
      <c r="B69" s="21" t="inlineStr">
        <is>
          <t>Utrekna</t>
        </is>
      </c>
      <c r="C69" s="38">
        <f>IF((C7)=0,0,(C52)/(C7))</f>
        <v/>
      </c>
      <c r="D69" s="12" t="inlineStr">
        <is>
          <t>kr</t>
        </is>
      </c>
      <c r="E69" s="23" t="inlineStr">
        <is>
          <t>Produksjonsinntekter i alt = Produksjonsinntekter i alt [C52] ÷ Tal ammekyr [C7]</t>
        </is>
      </c>
      <c r="F69" s="24" t="inlineStr">
        <is>
          <t>=IF((C7)=0,0,(C52)/(C7))</t>
        </is>
      </c>
    </row>
    <row r="70">
      <c r="A70" s="18" t="inlineStr">
        <is>
          <t>Variable kostnader pr ammeku</t>
        </is>
      </c>
      <c r="B70" s="19" t="n"/>
      <c r="C70" s="19" t="n"/>
      <c r="D70" s="19" t="n"/>
      <c r="E70" s="19" t="n"/>
      <c r="F70" s="19" t="n"/>
    </row>
    <row r="71">
      <c r="A71" s="20" t="inlineStr">
        <is>
          <t>Eigen grovfôrproduksjon</t>
        </is>
      </c>
      <c r="B71" s="21" t="inlineStr">
        <is>
          <t>Utrekna</t>
        </is>
      </c>
      <c r="C71" s="38">
        <f>IF((C7)=0,0,(C55)/(C7))</f>
        <v/>
      </c>
      <c r="D71" s="12" t="inlineStr">
        <is>
          <t>kr</t>
        </is>
      </c>
      <c r="E71" s="23" t="inlineStr">
        <is>
          <t>Eigen grovfôrproduksjon = Sum eigen grovfôrproduksjon (utan lagerendring) [C55] ÷ Tal ammekyr [C7]</t>
        </is>
      </c>
      <c r="F71" s="24" t="inlineStr">
        <is>
          <t>=IF((C7)=0,0,(C55)/(C7))</t>
        </is>
      </c>
    </row>
    <row r="72">
      <c r="A72" s="20" t="inlineStr">
        <is>
          <t>Kjøpt grovfôr</t>
        </is>
      </c>
      <c r="B72" s="21" t="inlineStr">
        <is>
          <t>Utrekna</t>
        </is>
      </c>
      <c r="C72" s="38">
        <f>IF((C7)=0,0,(C41)/(C7))</f>
        <v/>
      </c>
      <c r="D72" s="12" t="inlineStr">
        <is>
          <t>kr</t>
        </is>
      </c>
      <c r="E72" s="23" t="inlineStr">
        <is>
          <t>Kjøpt grovfôr = Kjøp grovfôr [C41] ÷ Tal ammekyr [C7]</t>
        </is>
      </c>
      <c r="F72" s="24" t="inlineStr">
        <is>
          <t>=IF((C7)=0,0,(C41)/(C7))</t>
        </is>
      </c>
    </row>
    <row r="73">
      <c r="A73" s="20" t="inlineStr">
        <is>
          <t>Varelager endring grovfôr</t>
        </is>
      </c>
      <c r="B73" s="21" t="inlineStr">
        <is>
          <t>Utrekna</t>
        </is>
      </c>
      <c r="C73" s="38">
        <f>IF((C7)=0,0,(C39+C43)/(C7))</f>
        <v/>
      </c>
      <c r="D73" s="12" t="inlineStr">
        <is>
          <t>kr</t>
        </is>
      </c>
      <c r="E73" s="23" t="inlineStr">
        <is>
          <t>Varelager endring grovfôr = (Endring eigenprodusert grovfôr (+ = nedgang i lager) [C39] + Endring innkjøpt grovfôrlager [C43]) ÷ Tal ammekyr [C7]</t>
        </is>
      </c>
      <c r="F73" s="24" t="inlineStr">
        <is>
          <t>=IF((C7)=0,0,(C39+C43)/(C7))</t>
        </is>
      </c>
    </row>
    <row r="74">
      <c r="A74" s="20" t="inlineStr">
        <is>
          <t>Beiteleige</t>
        </is>
      </c>
      <c r="B74" s="21" t="inlineStr">
        <is>
          <t>Utrekna</t>
        </is>
      </c>
      <c r="C74" s="38">
        <f>IF((C7)=0,0,(C42)/(C7))</f>
        <v/>
      </c>
      <c r="D74" s="12" t="inlineStr">
        <is>
          <t>kr</t>
        </is>
      </c>
      <c r="E74" s="23" t="inlineStr">
        <is>
          <t>Beiteleige = Beiteleige / dyr på beite [C42] ÷ Tal ammekyr [C7]</t>
        </is>
      </c>
      <c r="F74" s="24" t="inlineStr">
        <is>
          <t>=IF((C7)=0,0,(C42)/(C7))</t>
        </is>
      </c>
    </row>
    <row r="75">
      <c r="A75" s="20" t="inlineStr">
        <is>
          <t>Kraftfôr mm.</t>
        </is>
      </c>
      <c r="B75" s="21" t="inlineStr">
        <is>
          <t>Utrekna</t>
        </is>
      </c>
      <c r="C75" s="38">
        <f>IF((C7)=0,0,(C44)/(C7))</f>
        <v/>
      </c>
      <c r="D75" s="12" t="inlineStr">
        <is>
          <t>kr</t>
        </is>
      </c>
      <c r="E75" s="23" t="inlineStr">
        <is>
          <t>Kraftfôr mm. = Kraftfôr mm. [C44] ÷ Tal ammekyr [C7]</t>
        </is>
      </c>
      <c r="F75" s="24" t="inlineStr">
        <is>
          <t>=IF((C7)=0,0,(C44)/(C7))</t>
        </is>
      </c>
    </row>
    <row r="76">
      <c r="A76" s="20" t="inlineStr">
        <is>
          <t>Veterinær, medisin, semin mm.</t>
        </is>
      </c>
      <c r="B76" s="21" t="inlineStr">
        <is>
          <t>Utrekna</t>
        </is>
      </c>
      <c r="C76" s="38">
        <f>IF((C7)=0,0,(C45)/(C7))</f>
        <v/>
      </c>
      <c r="D76" s="12" t="inlineStr">
        <is>
          <t>kr</t>
        </is>
      </c>
      <c r="E76" s="23" t="inlineStr">
        <is>
          <t>Veterinær, medisin, semin mm. = Veterinær, medisin, semin mm. [C45] ÷ Tal ammekyr [C7]</t>
        </is>
      </c>
      <c r="F76" s="24" t="inlineStr">
        <is>
          <t>=IF((C7)=0,0,(C45)/(C7))</t>
        </is>
      </c>
    </row>
    <row r="77">
      <c r="A77" s="20" t="inlineStr">
        <is>
          <t>Innkjøp dyr</t>
        </is>
      </c>
      <c r="B77" s="21" t="inlineStr">
        <is>
          <t>Utrekna</t>
        </is>
      </c>
      <c r="C77" s="38">
        <f>IF((C7)=0,0,(C46)/(C7))</f>
        <v/>
      </c>
      <c r="D77" s="12" t="inlineStr">
        <is>
          <t>kr</t>
        </is>
      </c>
      <c r="E77" s="23" t="inlineStr">
        <is>
          <t>Innkjøp dyr = Innkjøp dyr [C46] ÷ Tal ammekyr [C7]</t>
        </is>
      </c>
      <c r="F77" s="24" t="inlineStr">
        <is>
          <t>=IF((C7)=0,0,(C46)/(C7))</t>
        </is>
      </c>
    </row>
    <row r="78">
      <c r="A78" s="20" t="inlineStr">
        <is>
          <t>Andre variable kostnader</t>
        </is>
      </c>
      <c r="B78" s="21" t="inlineStr">
        <is>
          <t>Utrekna</t>
        </is>
      </c>
      <c r="C78" s="38">
        <f>IF((C7)=0,0,(C47)/(C7))</f>
        <v/>
      </c>
      <c r="D78" s="12" t="inlineStr">
        <is>
          <t>kr</t>
        </is>
      </c>
      <c r="E78" s="23" t="inlineStr">
        <is>
          <t>Andre variable kostnader = Andre variable kostnader [C47] ÷ Tal ammekyr [C7]</t>
        </is>
      </c>
      <c r="F78" s="24" t="inlineStr">
        <is>
          <t>=IF((C7)=0,0,(C47)/(C7))</t>
        </is>
      </c>
    </row>
    <row r="79">
      <c r="A79" s="20" t="inlineStr">
        <is>
          <t>Sum variable kostnader</t>
        </is>
      </c>
      <c r="B79" s="21" t="inlineStr">
        <is>
          <t>Utrekna</t>
        </is>
      </c>
      <c r="C79" s="38">
        <f>IF((C7)=0,0,(C57)/(C7))</f>
        <v/>
      </c>
      <c r="D79" s="12" t="inlineStr">
        <is>
          <t>kr</t>
        </is>
      </c>
      <c r="E79" s="23" t="inlineStr">
        <is>
          <t>Sum variable kostnader = Variable kostnader i alt [C57] ÷ Tal ammekyr [C7]</t>
        </is>
      </c>
      <c r="F79" s="24" t="inlineStr">
        <is>
          <t>=IF((C7)=0,0,(C57)/(C7))</t>
        </is>
      </c>
    </row>
    <row r="80">
      <c r="A80" s="18" t="inlineStr">
        <is>
          <t>Resultat pr ammeku</t>
        </is>
      </c>
      <c r="B80" s="19" t="n"/>
      <c r="C80" s="19" t="n"/>
      <c r="D80" s="19" t="n"/>
      <c r="E80" s="19" t="n"/>
      <c r="F80" s="19" t="n"/>
    </row>
    <row r="81">
      <c r="A81" s="20" t="inlineStr">
        <is>
          <t>DB utan tilskot</t>
        </is>
      </c>
      <c r="B81" s="21" t="inlineStr">
        <is>
          <t>Utrekna</t>
        </is>
      </c>
      <c r="C81" s="38">
        <f>IF((C7)=0,0,(C58)/(C7))</f>
        <v/>
      </c>
      <c r="D81" s="12" t="inlineStr">
        <is>
          <t>kr</t>
        </is>
      </c>
      <c r="E81" s="23" t="inlineStr">
        <is>
          <t>DB utan tilskot = Dekningsbidrag (DB) utan tilskot [C58] ÷ Tal ammekyr [C7]</t>
        </is>
      </c>
      <c r="F81" s="24" t="inlineStr">
        <is>
          <t>=IF((C7)=0,0,(C58)/(C7))</t>
        </is>
      </c>
    </row>
    <row r="82">
      <c r="A82" s="20" t="inlineStr">
        <is>
          <t>Tilskot</t>
        </is>
      </c>
      <c r="B82" s="21" t="inlineStr">
        <is>
          <t>Utrekna</t>
        </is>
      </c>
      <c r="C82" s="38">
        <f>IF((C7)=0,0,(C25)/(C7))</f>
        <v/>
      </c>
      <c r="D82" s="12" t="inlineStr">
        <is>
          <t>kr</t>
        </is>
      </c>
      <c r="E82" s="23" t="inlineStr">
        <is>
          <t>Tilskot = Produksjonstilskot fordelt på produksjonen [C25] ÷ Tal ammekyr [C7]</t>
        </is>
      </c>
      <c r="F82" s="24" t="inlineStr">
        <is>
          <t>=IF((C7)=0,0,(C25)/(C7))</t>
        </is>
      </c>
    </row>
    <row r="83">
      <c r="A83" s="20" t="inlineStr">
        <is>
          <t>DB med tilskot</t>
        </is>
      </c>
      <c r="B83" s="21" t="inlineStr">
        <is>
          <t>Utrekna</t>
        </is>
      </c>
      <c r="C83" s="38">
        <f>IF((C7)=0,0,(C59)/(C7))</f>
        <v/>
      </c>
      <c r="D83" s="12" t="inlineStr">
        <is>
          <t>kr</t>
        </is>
      </c>
      <c r="E83" s="23" t="inlineStr">
        <is>
          <t>DB med tilskot = Dekningsbidrag (DB) med tilskot [C59] ÷ Tal ammekyr [C7]</t>
        </is>
      </c>
      <c r="F83" s="24" t="inlineStr">
        <is>
          <t>=IF((C7)=0,0,(C59)/(C7))</t>
        </is>
      </c>
    </row>
    <row r="84">
      <c r="A84" s="20" t="inlineStr">
        <is>
          <t>Maskinkostnader</t>
        </is>
      </c>
      <c r="B84" s="21" t="inlineStr">
        <is>
          <t>Utrekna</t>
        </is>
      </c>
      <c r="C84" s="38">
        <f>IF((C7)=0,0,(C49)/(C7))</f>
        <v/>
      </c>
      <c r="D84" s="12" t="inlineStr">
        <is>
          <t>kr</t>
        </is>
      </c>
      <c r="E84" s="23" t="inlineStr">
        <is>
          <t>Maskinkostnader = Maskinkostnader fordelt [C49] ÷ Tal ammekyr [C7]</t>
        </is>
      </c>
      <c r="F84" s="24" t="inlineStr">
        <is>
          <t>=IF((C7)=0,0,(C49)/(C7))</t>
        </is>
      </c>
    </row>
    <row r="85">
      <c r="A85" s="20" t="inlineStr">
        <is>
          <t>Innandørsmekanisering</t>
        </is>
      </c>
      <c r="B85" s="21" t="inlineStr">
        <is>
          <t>Utrekna</t>
        </is>
      </c>
      <c r="C85" s="38">
        <f>IF((C7)=0,0,(C50)/(C7))</f>
        <v/>
      </c>
      <c r="D85" s="12" t="inlineStr">
        <is>
          <t>kr</t>
        </is>
      </c>
      <c r="E85" s="23" t="inlineStr">
        <is>
          <t>Innandørsmekanisering = Innandørsmekanisering fordelt [C50] ÷ Tal ammekyr [C7]</t>
        </is>
      </c>
      <c r="F85" s="24" t="inlineStr">
        <is>
          <t>=IF((C7)=0,0,(C50)/(C7))</t>
        </is>
      </c>
    </row>
    <row r="86">
      <c r="A86" s="20" t="inlineStr">
        <is>
          <t>DB m/tilskot etter maskin og innandørsmek.</t>
        </is>
      </c>
      <c r="B86" s="21" t="inlineStr">
        <is>
          <t>Utrekna</t>
        </is>
      </c>
      <c r="C86" s="38">
        <f>IF((C7)=0,0,(C60)/(C7))</f>
        <v/>
      </c>
      <c r="D86" s="12" t="inlineStr">
        <is>
          <t>kr</t>
        </is>
      </c>
      <c r="E86" s="23" t="inlineStr">
        <is>
          <t>DB m/tilskot etter maskin og innandørsmek. = DB m/tilskot etter maskin- og innandørskostnad [C60] ÷ Tal ammekyr [C7]</t>
        </is>
      </c>
      <c r="F86" s="24" t="inlineStr">
        <is>
          <t>=IF((C7)=0,0,(C60)/(C7))</t>
        </is>
      </c>
    </row>
    <row r="87">
      <c r="A87" s="18" t="inlineStr">
        <is>
          <t>6. OUTPUT – Nøkkeltal</t>
        </is>
      </c>
      <c r="B87" s="19" t="n"/>
      <c r="C87" s="19" t="n"/>
      <c r="D87" s="19" t="n"/>
      <c r="E87" s="19" t="n"/>
      <c r="F87" s="19" t="n"/>
    </row>
    <row r="88">
      <c r="A88" s="25" t="inlineStr">
        <is>
          <t>DB pr ammeku u/tilskot</t>
        </is>
      </c>
      <c r="B88" s="26" t="inlineStr">
        <is>
          <t>Utrekna</t>
        </is>
      </c>
      <c r="C88" s="39">
        <f>IF((C7)=0,0,(C58)/(C7))</f>
        <v/>
      </c>
      <c r="D88" s="28" t="inlineStr">
        <is>
          <t>kr</t>
        </is>
      </c>
      <c r="E88" s="29" t="inlineStr">
        <is>
          <t>DB pr ammeku u/tilskot = Dekningsbidrag (DB) utan tilskot [C58] ÷ Tal ammekyr [C7]</t>
        </is>
      </c>
      <c r="F88" s="30" t="inlineStr">
        <is>
          <t>=IF((C7)=0,0,(C58)/(C7))</t>
        </is>
      </c>
    </row>
    <row r="89">
      <c r="A89" s="25" t="inlineStr">
        <is>
          <t>DB pr ammeku m/tilskot</t>
        </is>
      </c>
      <c r="B89" s="26" t="inlineStr">
        <is>
          <t>Utrekna</t>
        </is>
      </c>
      <c r="C89" s="39">
        <f>IF((C7)=0,0,(C59)/(C7))</f>
        <v/>
      </c>
      <c r="D89" s="28" t="inlineStr">
        <is>
          <t>kr</t>
        </is>
      </c>
      <c r="E89" s="29" t="inlineStr">
        <is>
          <t>DB pr ammeku m/tilskot = Dekningsbidrag (DB) med tilskot [C59] ÷ Tal ammekyr [C7]</t>
        </is>
      </c>
      <c r="F89" s="30" t="inlineStr">
        <is>
          <t>=IF((C7)=0,0,(C59)/(C7))</t>
        </is>
      </c>
    </row>
    <row r="90">
      <c r="A90" s="25" t="inlineStr">
        <is>
          <t>DB pr dekar grovfôr u/tilskot</t>
        </is>
      </c>
      <c r="B90" s="26" t="inlineStr">
        <is>
          <t>Utrekna</t>
        </is>
      </c>
      <c r="C90" s="39">
        <f>IF(('Grovfôr'!C21*IF(('Grovfôr'!C38)=0,0,(C55)/('Grovfôr'!C38)))=0,0,(C58)/('Grovfôr'!C21*IF(('Grovfôr'!C38)=0,0,(C55)/('Grovfôr'!C38))))</f>
        <v/>
      </c>
      <c r="D90" s="28" t="inlineStr">
        <is>
          <t>kr</t>
        </is>
      </c>
      <c r="E90" s="29" t="inlineStr">
        <is>
          <t>DB pr dekar grovfôr u/tilskot = Dekningsbidrag (DB) utan tilskot [C58] ÷ (Korrigert grovfôrareal (overflate/1,25 + fulldyrka + kulturbeite/2,5) [Grovfôr!C21] × Sum eigen grovfôrproduksjon (utan lagerendring) [C55] ÷ Sum eigen grovfôrkostnad (fordelingsnøkkel areal) [Grovfôr!C38])   (Grovfôrarealet blir fordelt etter produksjonen sin del av eigen grovfôrkostnad)</t>
        </is>
      </c>
      <c r="F90" s="30" t="inlineStr">
        <is>
          <t>=IF(('Grovfôr'!C21*IF(('Grovfôr'!C38)=0,0,(C55)/('Grovfôr'!C38)))=0,0,(C58)/('Grovfôr'!C21*IF(('Grovfôr'!C38)=0,0,(C55)/('Grovfôr'!C38))))</t>
        </is>
      </c>
    </row>
    <row r="91">
      <c r="A91" s="25" t="inlineStr">
        <is>
          <t>DB pr dekar grovfôr m/tilskot</t>
        </is>
      </c>
      <c r="B91" s="26" t="inlineStr">
        <is>
          <t>Utrekna</t>
        </is>
      </c>
      <c r="C91" s="39">
        <f>IF(('Grovfôr'!C21*IF(('Grovfôr'!C38)=0,0,(C55)/('Grovfôr'!C38)))=0,0,(C59)/('Grovfôr'!C21*IF(('Grovfôr'!C38)=0,0,(C55)/('Grovfôr'!C38))))</f>
        <v/>
      </c>
      <c r="D91" s="28" t="inlineStr">
        <is>
          <t>kr</t>
        </is>
      </c>
      <c r="E91" s="29" t="inlineStr">
        <is>
          <t>DB pr dekar grovfôr m/tilskot = Dekningsbidrag (DB) med tilskot [C59] ÷ (Korrigert grovfôrareal (overflate/1,25 + fulldyrka + kulturbeite/2,5) [Grovfôr!C21] × Sum eigen grovfôrproduksjon (utan lagerendring) [C55] ÷ Sum eigen grovfôrkostnad (fordelingsnøkkel areal) [Grovfôr!C38])</t>
        </is>
      </c>
      <c r="F91" s="30" t="inlineStr">
        <is>
          <t>=IF(('Grovfôr'!C21*IF(('Grovfôr'!C38)=0,0,(C55)/('Grovfôr'!C38)))=0,0,(C59)/('Grovfôr'!C21*IF(('Grovfôr'!C38)=0,0,(C55)/('Grovfôr'!C38))))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Innandørsmekanisering pr ammeku</t>
        </is>
      </c>
      <c r="B95" s="26" t="inlineStr">
        <is>
          <t>Utrekna</t>
        </is>
      </c>
      <c r="C95" s="39">
        <f>IF((C7)=0,0,(C50)/(C7))</f>
        <v/>
      </c>
      <c r="D95" s="28" t="inlineStr">
        <is>
          <t>kr</t>
        </is>
      </c>
      <c r="E95" s="29" t="inlineStr">
        <is>
          <t>Innandørsmekanisering pr ammeku = Innandørsmekanisering fordelt [C50] ÷ Tal ammekyr [C7]</t>
        </is>
      </c>
      <c r="F95" s="30" t="inlineStr">
        <is>
          <t>=IF((C7)=0,0,(C50)/(C7))</t>
        </is>
      </c>
    </row>
    <row r="96">
      <c r="A96" s="25" t="inlineStr">
        <is>
          <t>Påsettprosent</t>
        </is>
      </c>
      <c r="B96" s="26" t="inlineStr">
        <is>
          <t>Utrekna</t>
        </is>
      </c>
      <c r="C96" s="33">
        <f>C62</f>
        <v/>
      </c>
      <c r="D96" s="28" t="inlineStr">
        <is>
          <t>%</t>
        </is>
      </c>
      <c r="E96" s="29" t="inlineStr">
        <is>
          <t>Påsettprosent = Påsettprosent [C62]</t>
        </is>
      </c>
      <c r="F96" s="30" t="inlineStr">
        <is>
          <t>=C62</t>
        </is>
      </c>
    </row>
    <row r="97">
      <c r="A97" s="25" t="inlineStr">
        <is>
          <t>Snitt slaktevekt kyr (kg)</t>
        </is>
      </c>
      <c r="B97" s="26" t="inlineStr">
        <is>
          <t>Utrekna</t>
        </is>
      </c>
      <c r="C97" s="37">
        <f>IF((C17)=0,0,(C16)/(C17))</f>
        <v/>
      </c>
      <c r="D97" s="28" t="inlineStr">
        <is>
          <t>kg</t>
        </is>
      </c>
      <c r="E97" s="29" t="inlineStr">
        <is>
          <t>Snitt slaktevekt kyr (kg) = Kg slakt kyr [C16] ÷ Tal slakta kyr [C17]</t>
        </is>
      </c>
      <c r="F97" s="30" t="inlineStr">
        <is>
          <t>=IF((C17)=0,0,(C16)/(C17))</t>
        </is>
      </c>
    </row>
    <row r="98">
      <c r="A98" s="25" t="inlineStr">
        <is>
          <t>Nyttbar kalv pr ku</t>
        </is>
      </c>
      <c r="B98" s="26" t="inlineStr">
        <is>
          <t>Utrekna</t>
        </is>
      </c>
      <c r="C98" s="39">
        <f>IF((C7)=0,0,((C9+C11+C13+C15)+C19-C20-(C8+C10+C12+C14))/(C7))</f>
        <v/>
      </c>
      <c r="D98" s="28" t="inlineStr">
        <is>
          <t>stk</t>
        </is>
      </c>
      <c r="E98"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8" s="30" t="inlineStr">
        <is>
          <t>=IF((C7)=0,0,((C9+C11+C13+C15)+C19-C20-(C8+C10+C12+C14))/(C7))</t>
        </is>
      </c>
    </row>
    <row r="99">
      <c r="A99" s="25" t="inlineStr">
        <is>
          <t>Oppnådd pris pr kg slakt (u/distriktstilskot)</t>
        </is>
      </c>
      <c r="B99" s="26" t="inlineStr">
        <is>
          <t>Utrekna</t>
        </is>
      </c>
      <c r="C99" s="39">
        <f>IF((C18)=0,0,(C27-C30)/(C18))</f>
        <v/>
      </c>
      <c r="D99" s="28" t="inlineStr">
        <is>
          <t>kr</t>
        </is>
      </c>
      <c r="E99" s="29" t="inlineStr">
        <is>
          <t>Oppnådd pris pr kg slakt (u/distriktstilskot) = (Slakt [C27] − Herav distriktstilskot kjøt [C30]) ÷ Kg slakt totalt [C18]</t>
        </is>
      </c>
      <c r="F99" s="30" t="inlineStr">
        <is>
          <t>=IF((C18)=0,0,(C27-C30)/(C18))</t>
        </is>
      </c>
    </row>
    <row r="100">
      <c r="A100" s="25" t="inlineStr">
        <is>
          <t>Analysegruppe (påsett)</t>
        </is>
      </c>
      <c r="B100" s="26" t="inlineStr">
        <is>
          <t>Utrekna</t>
        </is>
      </c>
      <c r="C100" s="41">
        <f>IF(C62&gt;0.5,"Påsett &gt; 50 %","Påsett &lt; 50 %")</f>
        <v/>
      </c>
      <c r="D100" s="28" t="inlineStr">
        <is>
          <t>tekst</t>
        </is>
      </c>
      <c r="E100" s="29" t="inlineStr">
        <is>
          <t>Analysegruppe (påsett) = HVIS(Påsettprosent [C62]&gt;0,5; "Påsett &gt; 50 %"; "Påsett &lt; 50 %")   (Tilsvarar arka «Ammekyr &lt;50%» og «Ammekyr &gt;50%» i eksempelanalysen)</t>
        </is>
      </c>
      <c r="F100" s="30" t="inlineStr">
        <is>
          <t>=IF(C62&gt;0.5,"Påsett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kostnader'!C69</f>
        <v/>
      </c>
      <c r="D30" s="12" t="inlineStr">
        <is>
          <t>kr</t>
        </is>
      </c>
      <c r="E30" s="23" t="inlineStr">
        <is>
          <t>Innandørsmekanisering fordelt = Innandørsmekanisering – Smågris [Faste kostnader!C69]</t>
        </is>
      </c>
      <c r="F30" s="24" t="inlineStr">
        <is>
          <t>='Faste kostnader'!C69</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kostnader'!C70</f>
        <v/>
      </c>
      <c r="D31" s="12" t="inlineStr">
        <is>
          <t>kr</t>
        </is>
      </c>
      <c r="E31" s="23" t="inlineStr">
        <is>
          <t>Innandørsmekanisering fordelt = Innandørsmekanisering – Purkering [Faste kostnader!C70]</t>
        </is>
      </c>
      <c r="F31" s="24" t="inlineStr">
        <is>
          <t>='Faste kostnader'!C70</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kostnader'!C71</f>
        <v/>
      </c>
      <c r="D27" s="12" t="inlineStr">
        <is>
          <t>kr</t>
        </is>
      </c>
      <c r="E27" s="23" t="inlineStr">
        <is>
          <t>Innandørsmekanisering fordelt = Innandørsmekanisering – Slaktegris [Faste kostnader!C71]</t>
        </is>
      </c>
      <c r="F27" s="24" t="inlineStr">
        <is>
          <t>='Faste kostnader'!C71</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1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20" t="inlineStr">
        <is>
          <t>Fôrnorm beite (FEm)</t>
        </is>
      </c>
      <c r="B25" s="24" t="inlineStr">
        <is>
          <t>Fôrnorm pr vf. sau og år (jf. marginalanalysen). Brukt til arealbehov og fordelingsnøklar</t>
        </is>
      </c>
      <c r="C25" s="31" t="n">
        <v>337</v>
      </c>
      <c r="D25" s="12" t="inlineStr">
        <is>
          <t>FEm</t>
        </is>
      </c>
      <c r="E25" s="24" t="inlineStr">
        <is>
          <t>Input. Hentast frå: Fôrnorm pr vf. sau og år (jf. marginalanalysen). Brukt til arealbehov og fordelingsnøklar.</t>
        </is>
      </c>
      <c r="F25" s="32" t="n"/>
    </row>
    <row r="26">
      <c r="A26" s="20" t="inlineStr">
        <is>
          <t>Fôrnorm eige grovfôr vinter (FEm)</t>
        </is>
      </c>
      <c r="B26" s="24" t="inlineStr">
        <is>
          <t>Fôrnorm pr vf. sau og år (jf. marginalanalysen). Brukt til arealbehov og fordelingsnøklar</t>
        </is>
      </c>
      <c r="C26" s="31" t="n">
        <v>195</v>
      </c>
      <c r="D26" s="12" t="inlineStr">
        <is>
          <t>FEm</t>
        </is>
      </c>
      <c r="E26" s="24" t="inlineStr">
        <is>
          <t>Input. Hentast frå: Fôrnorm pr vf. sau og år (jf. marginalanalysen). Brukt til arealbehov og fordelingsnøklar.</t>
        </is>
      </c>
      <c r="F26" s="32" t="n"/>
    </row>
    <row r="27">
      <c r="A27" s="20" t="inlineStr">
        <is>
          <t>Fôrnorm kraftfôr (FEm)</t>
        </is>
      </c>
      <c r="B27" s="24" t="inlineStr">
        <is>
          <t>Fôrnorm pr vf. sau og år (jf. marginalanalysen). Brukt til arealbehov og fordelingsnøklar</t>
        </is>
      </c>
      <c r="C27" s="31" t="n">
        <v>107</v>
      </c>
      <c r="D27" s="12" t="inlineStr">
        <is>
          <t>FEm</t>
        </is>
      </c>
      <c r="E27" s="24" t="inlineStr">
        <is>
          <t>Input. Hentast frå: Fôrnorm pr vf. sau og år (jf. marginalanalysen). Brukt til arealbehov og fordelingsnøklar.</t>
        </is>
      </c>
      <c r="F27" s="32" t="n"/>
    </row>
    <row r="28">
      <c r="A28" s="18" t="inlineStr">
        <is>
          <t>2. INPUT – Rekneskapstal (kr) frå saldobalansen etter korrigeringar</t>
        </is>
      </c>
      <c r="B28" s="19" t="n"/>
      <c r="C28" s="19" t="n"/>
      <c r="D28" s="19" t="n"/>
      <c r="E28" s="19" t="n"/>
      <c r="F28" s="19" t="n"/>
    </row>
    <row r="29">
      <c r="A29" s="20" t="inlineStr">
        <is>
          <t>Produksjonstilskot fordelt på produksjonen</t>
        </is>
      </c>
      <c r="B29" s="24" t="inlineStr">
        <is>
          <t>34xx (ikkje 344x avløysartilskot)</t>
        </is>
      </c>
      <c r="C29" s="31" t="n">
        <v>206447.37</v>
      </c>
      <c r="D29" s="12" t="inlineStr">
        <is>
          <t>kr</t>
        </is>
      </c>
      <c r="E29" s="24" t="inlineStr">
        <is>
          <t>Input. Hentast frå: 34xx (ikkje 344x avløysartilskot).</t>
        </is>
      </c>
      <c r="F29" s="32" t="n"/>
    </row>
    <row r="30">
      <c r="A30" s="20" t="inlineStr">
        <is>
          <t>Ull</t>
        </is>
      </c>
      <c r="B30" s="24" t="inlineStr">
        <is>
          <t>3074, 3163/3173 (.484)</t>
        </is>
      </c>
      <c r="C30" s="31" t="n">
        <v>6386.3</v>
      </c>
      <c r="D30" s="12" t="inlineStr">
        <is>
          <t>kr</t>
        </is>
      </c>
      <c r="E30" s="24" t="inlineStr">
        <is>
          <t>Input. Hentast frå: 3074, 3163/3173 (.484).</t>
        </is>
      </c>
      <c r="F30" s="32" t="n"/>
    </row>
    <row r="31">
      <c r="A31" s="20" t="inlineStr">
        <is>
          <t>Slakt</t>
        </is>
      </c>
      <c r="B31" s="24" t="inlineStr">
        <is>
          <t>3040-3049, 3162, 3172, 3078</t>
        </is>
      </c>
      <c r="C31" s="31" t="n">
        <v>103507.3</v>
      </c>
      <c r="D31" s="12" t="inlineStr">
        <is>
          <t>kr</t>
        </is>
      </c>
      <c r="E31" s="24" t="inlineStr">
        <is>
          <t>Input. Hentast frå: 3040-3049, 3162, 3172, 3078.</t>
        </is>
      </c>
      <c r="F31" s="32" t="n"/>
    </row>
    <row r="32">
      <c r="A32" s="20" t="inlineStr">
        <is>
          <t>Livdyrsal</t>
        </is>
      </c>
      <c r="B32" s="24" t="inlineStr">
        <is>
          <t>3050-3059</t>
        </is>
      </c>
      <c r="C32" s="31" t="n">
        <v>0</v>
      </c>
      <c r="D32" s="12" t="inlineStr">
        <is>
          <t>kr</t>
        </is>
      </c>
      <c r="E32" s="24" t="inlineStr">
        <is>
          <t>Input. Hentast frå: 3050-3059.</t>
        </is>
      </c>
      <c r="F32" s="32" t="n"/>
    </row>
    <row r="33">
      <c r="A33" s="20" t="inlineStr">
        <is>
          <t>Buskap, beholdningsendring (+ = auke)</t>
        </is>
      </c>
      <c r="B33" s="24" t="inlineStr">
        <is>
          <t>4690-4698 (forteikn snudd)</t>
        </is>
      </c>
      <c r="C33" s="31" t="n">
        <v>3800</v>
      </c>
      <c r="D33" s="12" t="inlineStr">
        <is>
          <t>kr</t>
        </is>
      </c>
      <c r="E33" s="24" t="inlineStr">
        <is>
          <t>Input. Hentast frå: 4690-4698 (forteikn snudd).</t>
        </is>
      </c>
      <c r="F33" s="32" t="n"/>
    </row>
    <row r="34">
      <c r="A34" s="20" t="inlineStr">
        <is>
          <t>Andre inntekter</t>
        </is>
      </c>
      <c r="B34" s="24" t="inlineStr">
        <is>
          <t>andre 3xxx kopla til produksjonen</t>
        </is>
      </c>
      <c r="C34" s="31" t="n">
        <v>0</v>
      </c>
      <c r="D34" s="12" t="inlineStr">
        <is>
          <t>kr</t>
        </is>
      </c>
      <c r="E34" s="24" t="inlineStr">
        <is>
          <t>Input. Hentast frå: andre 3xxx kopla til produksjonen.</t>
        </is>
      </c>
      <c r="F34" s="32" t="n"/>
    </row>
    <row r="35">
      <c r="A35" s="20" t="inlineStr">
        <is>
          <t>Herav distriktstilskot kjøt</t>
        </is>
      </c>
      <c r="B35" s="24" t="inlineStr">
        <is>
          <t>3047 Slakt, distriktstilskot (del av slakteinntekta)</t>
        </is>
      </c>
      <c r="C35" s="31" t="n">
        <v>0</v>
      </c>
      <c r="D35" s="12" t="inlineStr">
        <is>
          <t>kr</t>
        </is>
      </c>
      <c r="E35" s="24" t="inlineStr">
        <is>
          <t>Input. Hentast frå: 3047 Slakt, distriktstilskot (del av slakteinntekta). Er med i beløpet over, brukt berre til prisutrekning.</t>
        </is>
      </c>
      <c r="F35" s="32" t="n"/>
    </row>
    <row r="36">
      <c r="A36" s="20" t="inlineStr">
        <is>
          <t>Herav slakteinntekt til kjøtpris (3040–3046, 3048–3049)</t>
        </is>
      </c>
      <c r="B36" s="24" t="inlineStr">
        <is>
          <t>Slakt sau/lam utan distriktstilskot og utan 3162/3172</t>
        </is>
      </c>
      <c r="C36" s="31" t="n">
        <v>102881.42</v>
      </c>
      <c r="D36" s="12" t="inlineStr">
        <is>
          <t>kr</t>
        </is>
      </c>
      <c r="E36" s="24" t="inlineStr">
        <is>
          <t>Input. Hentast frå: Slakt sau/lam utan distriktstilskot og utan 3162/3172. Er med i beløpet over, brukt berre til prisutrekning.</t>
        </is>
      </c>
      <c r="F36" s="32" t="n"/>
    </row>
    <row r="37">
      <c r="A37" s="18" t="inlineStr">
        <is>
          <t>Variable kostnader – eigen grovfôrproduksjon</t>
        </is>
      </c>
      <c r="B37" s="19" t="n"/>
      <c r="C37" s="19" t="n"/>
      <c r="D37" s="19" t="n"/>
      <c r="E37" s="19" t="n"/>
      <c r="F37" s="19" t="n"/>
    </row>
    <row r="38">
      <c r="A38" s="20" t="inlineStr">
        <is>
          <t>Såfrø / grasfrø</t>
        </is>
      </c>
      <c r="B38" s="24" t="inlineStr">
        <is>
          <t>4001</t>
        </is>
      </c>
      <c r="C38" s="31" t="n">
        <v>1243.5</v>
      </c>
      <c r="D38" s="12" t="inlineStr">
        <is>
          <t>kr</t>
        </is>
      </c>
      <c r="E38" s="24" t="inlineStr">
        <is>
          <t>Input. Hentast frå: 4001.</t>
        </is>
      </c>
      <c r="F38" s="32" t="n"/>
    </row>
    <row r="39">
      <c r="A39" s="20" t="inlineStr">
        <is>
          <t>Plantevernmiddel</t>
        </is>
      </c>
      <c r="B39" s="24" t="inlineStr">
        <is>
          <t>4110, 4191</t>
        </is>
      </c>
      <c r="C39" s="31" t="n">
        <v>857.6</v>
      </c>
      <c r="D39" s="12" t="inlineStr">
        <is>
          <t>kr</t>
        </is>
      </c>
      <c r="E39" s="24" t="inlineStr">
        <is>
          <t>Input. Hentast frå: 4110, 4191.</t>
        </is>
      </c>
      <c r="F39" s="32" t="n"/>
    </row>
    <row r="40">
      <c r="A40" s="20" t="inlineStr">
        <is>
          <t>Rundballeplast mm.</t>
        </is>
      </c>
      <c r="B40" s="24" t="inlineStr">
        <is>
          <t>4140, 4194</t>
        </is>
      </c>
      <c r="C40" s="31" t="n">
        <v>3600</v>
      </c>
      <c r="D40" s="12" t="inlineStr">
        <is>
          <t>kr</t>
        </is>
      </c>
      <c r="E40" s="24" t="inlineStr">
        <is>
          <t>Input. Hentast frå: 4140, 4194.</t>
        </is>
      </c>
      <c r="F40" s="32" t="n"/>
    </row>
    <row r="41">
      <c r="A41" s="20" t="inlineStr">
        <is>
          <t>Handelsgjødsel</t>
        </is>
      </c>
      <c r="B41" s="24" t="inlineStr">
        <is>
          <t>4050, 4095</t>
        </is>
      </c>
      <c r="C41" s="31" t="n">
        <v>13399.84</v>
      </c>
      <c r="D41" s="12" t="inlineStr">
        <is>
          <t>kr</t>
        </is>
      </c>
      <c r="E41" s="24" t="inlineStr">
        <is>
          <t>Input. Hentast frå: 4050, 4095.</t>
        </is>
      </c>
      <c r="F41" s="32" t="n"/>
    </row>
    <row r="42">
      <c r="A42" s="20" t="inlineStr">
        <is>
          <t>Kalk</t>
        </is>
      </c>
      <c r="B42" s="24" t="inlineStr">
        <is>
          <t>4057</t>
        </is>
      </c>
      <c r="C42" s="31" t="n">
        <v>1783.56</v>
      </c>
      <c r="D42" s="12" t="inlineStr">
        <is>
          <t>kr</t>
        </is>
      </c>
      <c r="E42" s="24" t="inlineStr">
        <is>
          <t>Input. Hentast frå: 4057.</t>
        </is>
      </c>
      <c r="F42" s="32" t="n"/>
    </row>
    <row r="43">
      <c r="A43" s="20" t="inlineStr">
        <is>
          <t>Konserveringsmiddel</t>
        </is>
      </c>
      <c r="B43" s="24" t="inlineStr">
        <is>
          <t>4080, 4098</t>
        </is>
      </c>
      <c r="C43" s="31" t="n">
        <v>1212</v>
      </c>
      <c r="D43" s="12" t="inlineStr">
        <is>
          <t>kr</t>
        </is>
      </c>
      <c r="E43" s="24" t="inlineStr">
        <is>
          <t>Input. Hentast frå: 4080, 4098.</t>
        </is>
      </c>
      <c r="F43" s="32" t="n"/>
    </row>
    <row r="44">
      <c r="A44" s="20" t="inlineStr">
        <is>
          <t>Endring anna varelager (variable kostn.)</t>
        </is>
      </c>
      <c r="B44" s="24" t="inlineStr">
        <is>
          <t>4090</t>
        </is>
      </c>
      <c r="C44" s="31" t="n">
        <v>0</v>
      </c>
      <c r="D44" s="12" t="inlineStr">
        <is>
          <t>kr</t>
        </is>
      </c>
      <c r="E44" s="24" t="inlineStr">
        <is>
          <t>Input. Hentast frå: 4090.</t>
        </is>
      </c>
      <c r="F44" s="32" t="n"/>
    </row>
    <row r="45">
      <c r="A45" s="20" t="inlineStr">
        <is>
          <t>Endring eigenprodusert grovfôr (+ = nedgang i lager)</t>
        </is>
      </c>
      <c r="B45" s="24" t="inlineStr">
        <is>
          <t>4297</t>
        </is>
      </c>
      <c r="C45" s="31" t="n">
        <v>4639</v>
      </c>
      <c r="D45" s="12" t="inlineStr">
        <is>
          <t>kr</t>
        </is>
      </c>
      <c r="E45" s="24" t="inlineStr">
        <is>
          <t>Input. Hentast frå: 4297.</t>
        </is>
      </c>
      <c r="F45" s="32" t="n"/>
    </row>
    <row r="46">
      <c r="A46" s="18" t="inlineStr">
        <is>
          <t>Variable kostnader – anna</t>
        </is>
      </c>
      <c r="B46" s="19" t="n"/>
      <c r="C46" s="19" t="n"/>
      <c r="D46" s="19" t="n"/>
      <c r="E46" s="19" t="n"/>
      <c r="F46" s="19" t="n"/>
    </row>
    <row r="47">
      <c r="A47" s="20" t="inlineStr">
        <is>
          <t>Kjøp grovfôr</t>
        </is>
      </c>
      <c r="B47" s="24" t="inlineStr">
        <is>
          <t>4030</t>
        </is>
      </c>
      <c r="C47" s="31" t="n">
        <v>156.8</v>
      </c>
      <c r="D47" s="12" t="inlineStr">
        <is>
          <t>kr</t>
        </is>
      </c>
      <c r="E47" s="24" t="inlineStr">
        <is>
          <t>Input. Hentast frå: 4030.</t>
        </is>
      </c>
      <c r="F47" s="32" t="n"/>
    </row>
    <row r="48">
      <c r="A48" s="20" t="inlineStr">
        <is>
          <t>Beiteleige / dyr på beite</t>
        </is>
      </c>
      <c r="B48" s="24" t="inlineStr">
        <is>
          <t>4031</t>
        </is>
      </c>
      <c r="C48" s="31" t="n">
        <v>0</v>
      </c>
      <c r="D48" s="12" t="inlineStr">
        <is>
          <t>kr</t>
        </is>
      </c>
      <c r="E48" s="24" t="inlineStr">
        <is>
          <t>Input. Hentast frå: 4031.</t>
        </is>
      </c>
      <c r="F48" s="32" t="n"/>
    </row>
    <row r="49">
      <c r="A49" s="20" t="inlineStr">
        <is>
          <t>Endring innkjøpt grovfôrlager</t>
        </is>
      </c>
      <c r="B49" s="24" t="inlineStr">
        <is>
          <t>4093</t>
        </is>
      </c>
      <c r="C49" s="31" t="n">
        <v>0</v>
      </c>
      <c r="D49" s="12" t="inlineStr">
        <is>
          <t>kr</t>
        </is>
      </c>
      <c r="E49" s="24" t="inlineStr">
        <is>
          <t>Input. Hentast frå: 4093.</t>
        </is>
      </c>
      <c r="F49" s="32" t="n"/>
    </row>
    <row r="50">
      <c r="A50" s="20" t="inlineStr">
        <is>
          <t>Kraftfôr mm.</t>
        </is>
      </c>
      <c r="B50" s="24" t="inlineStr">
        <is>
          <t>4020-4029, 4040-4049, 4092, 4094</t>
        </is>
      </c>
      <c r="C50" s="31" t="n">
        <v>51071.22</v>
      </c>
      <c r="D50" s="12" t="inlineStr">
        <is>
          <t>kr</t>
        </is>
      </c>
      <c r="E50" s="24" t="inlineStr">
        <is>
          <t>Input. Hentast frå: 4020-4029, 4040-4049, 4092, 4094.</t>
        </is>
      </c>
      <c r="F50" s="32" t="n"/>
    </row>
    <row r="51">
      <c r="A51" s="20" t="inlineStr">
        <is>
          <t>Veterinær, medisin, semin mm.</t>
        </is>
      </c>
      <c r="B51" s="24" t="inlineStr">
        <is>
          <t>4120, 4192, 4520-4529</t>
        </is>
      </c>
      <c r="C51" s="31" t="n">
        <v>14001.21</v>
      </c>
      <c r="D51" s="12" t="inlineStr">
        <is>
          <t>kr</t>
        </is>
      </c>
      <c r="E51" s="24" t="inlineStr">
        <is>
          <t>Input. Hentast frå: 4120, 4192, 4520-4529.</t>
        </is>
      </c>
      <c r="F51" s="32" t="n"/>
    </row>
    <row r="52">
      <c r="A52" s="20" t="inlineStr">
        <is>
          <t>Innkjøp dyr</t>
        </is>
      </c>
      <c r="B52" s="24" t="inlineStr">
        <is>
          <t>4600-4689</t>
        </is>
      </c>
      <c r="C52" s="31" t="n">
        <v>0</v>
      </c>
      <c r="D52" s="12" t="inlineStr">
        <is>
          <t>kr</t>
        </is>
      </c>
      <c r="E52" s="24" t="inlineStr">
        <is>
          <t>Input. Hentast frå: 4600-4689.</t>
        </is>
      </c>
      <c r="F52" s="32" t="n"/>
    </row>
    <row r="53">
      <c r="A53" s="20" t="inlineStr">
        <is>
          <t>Andre variable kostnader</t>
        </is>
      </c>
      <c r="B53" s="24" t="inlineStr">
        <is>
          <t>4130-4139, 4193, 4530-4549, 4560-4569 + andre 4xxx</t>
        </is>
      </c>
      <c r="C53" s="31" t="n">
        <v>7533.75</v>
      </c>
      <c r="D53" s="12" t="inlineStr">
        <is>
          <t>kr</t>
        </is>
      </c>
      <c r="E53" s="24" t="inlineStr">
        <is>
          <t>Input. Hentast frå: 4130-4139, 4193, 4530-4549, 4560-4569 + andre 4xxx.</t>
        </is>
      </c>
      <c r="F53" s="32" t="n"/>
    </row>
    <row r="54">
      <c r="A54" s="18" t="inlineStr">
        <is>
          <t>3. INPUT – Fordelte faste kostnader (lenka frå arket «Faste kostnader»)</t>
        </is>
      </c>
      <c r="B54" s="19" t="n"/>
      <c r="C54" s="19" t="n"/>
      <c r="D54" s="19" t="n"/>
      <c r="E54" s="19" t="n"/>
      <c r="F54" s="19" t="n"/>
    </row>
    <row r="55">
      <c r="A55" s="20" t="inlineStr">
        <is>
          <t>Maskinkostnader fordelt</t>
        </is>
      </c>
      <c r="B55" s="21" t="inlineStr">
        <is>
          <t>Lenkje frå anna ark</t>
        </is>
      </c>
      <c r="C55" s="13">
        <f>'Faste kostnader'!C53</f>
        <v/>
      </c>
      <c r="D55" s="12" t="inlineStr">
        <is>
          <t>kr</t>
        </is>
      </c>
      <c r="E55" s="23" t="inlineStr">
        <is>
          <t>Maskinkostnader fordelt = Maskinkostnader – Sau [Faste kostnader!C53]</t>
        </is>
      </c>
      <c r="F55" s="24" t="inlineStr">
        <is>
          <t>='Faste kostnader'!C53</t>
        </is>
      </c>
    </row>
    <row r="56">
      <c r="A56" s="20" t="inlineStr">
        <is>
          <t>Innandørsmekanisering fordelt</t>
        </is>
      </c>
      <c r="B56" s="21" t="inlineStr">
        <is>
          <t>Lenkje frå anna ark</t>
        </is>
      </c>
      <c r="C56" s="13">
        <f>'Faste kostnader'!C72</f>
        <v/>
      </c>
      <c r="D56" s="12" t="inlineStr">
        <is>
          <t>kr</t>
        </is>
      </c>
      <c r="E56" s="23" t="inlineStr">
        <is>
          <t>Innandørsmekanisering fordelt = Innandørsmekanisering – Sau [Faste kostnader!C72]</t>
        </is>
      </c>
      <c r="F56" s="24" t="inlineStr">
        <is>
          <t>='Faste kostnader'!C72</t>
        </is>
      </c>
    </row>
    <row r="57">
      <c r="A57" s="18" t="inlineStr">
        <is>
          <t>4. UTREKNING – Totalt for produksjonen</t>
        </is>
      </c>
      <c r="B57" s="19" t="n"/>
      <c r="C57" s="19" t="n"/>
      <c r="D57" s="19" t="n"/>
      <c r="E57" s="19" t="n"/>
      <c r="F57" s="19" t="n"/>
    </row>
    <row r="58">
      <c r="A58" s="20" t="inlineStr">
        <is>
          <t>Produksjonsinntekter i alt</t>
        </is>
      </c>
      <c r="B58" s="21" t="inlineStr">
        <is>
          <t>Utrekna</t>
        </is>
      </c>
      <c r="C58" s="22">
        <f>C30+C31+C32+C33+C34</f>
        <v/>
      </c>
      <c r="D58" s="12" t="inlineStr">
        <is>
          <t>kr</t>
        </is>
      </c>
      <c r="E58" s="23" t="inlineStr">
        <is>
          <t>Produksjonsinntekter i alt = Ull [C30] + Slakt [C31] + Livdyrsal [C32] + Buskap, beholdningsendring (+ = auke) [C33] + Andre inntekter [C34]</t>
        </is>
      </c>
      <c r="F58" s="24" t="inlineStr">
        <is>
          <t>=C30+C31+C32+C33+C34</t>
        </is>
      </c>
    </row>
    <row r="59">
      <c r="A59" s="20" t="inlineStr">
        <is>
          <t>Eigen grovfôr – sum variable kostnader</t>
        </is>
      </c>
      <c r="B59" s="21" t="inlineStr">
        <is>
          <t>Utrekna</t>
        </is>
      </c>
      <c r="C59" s="22">
        <f>C38+C39+C40+C41+C42+C43+C44+C45</f>
        <v/>
      </c>
      <c r="D59" s="12" t="inlineStr">
        <is>
          <t>kr</t>
        </is>
      </c>
      <c r="E59" s="23" t="inlineStr">
        <is>
          <t>Eigen grovfôr – sum variable kostnader = Såfrø / grasfrø [C38] + Plantevernmiddel [C39] + Rundballeplast mm. [C40] + Handelsgjødsel [C41] + Kalk [C42] + Konserveringsmiddel [C43] + Endring anna varelager (variable kostn.) [C44] + Endring eigenprodusert grovfôr (+ = nedgang i lager) [C45]</t>
        </is>
      </c>
      <c r="F59" s="24" t="inlineStr">
        <is>
          <t>=C38+C39+C40+C41+C42+C43+C44+C45</t>
        </is>
      </c>
    </row>
    <row r="60">
      <c r="A60" s="20" t="inlineStr">
        <is>
          <t>Variabel grovfôrkostnad (utan plast og lagerendring eigenprodusert)</t>
        </is>
      </c>
      <c r="B60" s="21" t="inlineStr">
        <is>
          <t>Utrekna</t>
        </is>
      </c>
      <c r="C60" s="22">
        <f>C38+C39+C41+C42+C43+C44</f>
        <v/>
      </c>
      <c r="D60" s="12" t="inlineStr">
        <is>
          <t>kr</t>
        </is>
      </c>
      <c r="E60" s="23" t="inlineStr">
        <is>
          <t>Variabel grovfôrkostnad (utan plast og lagerendring eigenprodusert) = Såfrø / grasfrø [C38] + Plantevernmiddel [C39] + Handelsgjødsel [C41] + Kalk [C42] + Konserveringsmiddel [C43] + Endring anna varelager (variable kostn.) [C44]   (Brukt i «Variabel grovfôrkostnad pr dekar» – same utval som eksempelanalysen)</t>
        </is>
      </c>
      <c r="F60" s="24" t="inlineStr">
        <is>
          <t>=C38+C39+C41+C42+C43+C44</t>
        </is>
      </c>
    </row>
    <row r="61">
      <c r="A61" s="20" t="inlineStr">
        <is>
          <t>Sum eigen grovfôrproduksjon (utan lagerendring)</t>
        </is>
      </c>
      <c r="B61" s="21" t="inlineStr">
        <is>
          <t>Utrekna</t>
        </is>
      </c>
      <c r="C61" s="22">
        <f>C59-C45</f>
        <v/>
      </c>
      <c r="D61" s="12" t="inlineStr">
        <is>
          <t>kr</t>
        </is>
      </c>
      <c r="E61" s="23" t="inlineStr">
        <is>
          <t>Sum eigen grovfôrproduksjon (utan lagerendring) = Eigen grovfôr – sum variable kostnader [C59] − Endring eigenprodusert grovfôr (+ = nedgang i lager) [C45]   (Brukt til å fordele grovfôrarealet mellom produksjonane)</t>
        </is>
      </c>
      <c r="F61" s="24" t="inlineStr">
        <is>
          <t>=C59-C45</t>
        </is>
      </c>
    </row>
    <row r="62">
      <c r="A62" s="20" t="inlineStr">
        <is>
          <t>Grovfôr – kostnad i alt</t>
        </is>
      </c>
      <c r="B62" s="21" t="inlineStr">
        <is>
          <t>Utrekna</t>
        </is>
      </c>
      <c r="C62" s="22">
        <f>C59+C47+C49</f>
        <v/>
      </c>
      <c r="D62" s="12" t="inlineStr">
        <is>
          <t>kr</t>
        </is>
      </c>
      <c r="E62" s="23" t="inlineStr">
        <is>
          <t>Grovfôr – kostnad i alt = Eigen grovfôr – sum variable kostnader [C59] + Kjøp grovfôr [C47] + Endring innkjøpt grovfôrlager [C49]</t>
        </is>
      </c>
      <c r="F62" s="24" t="inlineStr">
        <is>
          <t>=C59+C47+C49</t>
        </is>
      </c>
    </row>
    <row r="63">
      <c r="A63" s="20" t="inlineStr">
        <is>
          <t>Variable kostnader i alt</t>
        </is>
      </c>
      <c r="B63" s="21" t="inlineStr">
        <is>
          <t>Utrekna</t>
        </is>
      </c>
      <c r="C63" s="22">
        <f>C62+C48+C50+C51+C52+C53</f>
        <v/>
      </c>
      <c r="D63" s="12" t="inlineStr">
        <is>
          <t>kr</t>
        </is>
      </c>
      <c r="E63" s="23" t="inlineStr">
        <is>
          <t>Variable kostnader i alt = Grovfôr – kostnad i alt [C62] + Beiteleige / dyr på beite [C48] + Kraftfôr mm. [C50] + Veterinær, medisin, semin mm. [C51] + Innkjøp dyr [C52] + Andre variable kostnader [C53]</t>
        </is>
      </c>
      <c r="F63" s="24" t="inlineStr">
        <is>
          <t>=C62+C48+C50+C51+C52+C53</t>
        </is>
      </c>
    </row>
    <row r="64">
      <c r="A64" s="25" t="inlineStr">
        <is>
          <t>Dekningsbidrag (DB) utan tilskot</t>
        </is>
      </c>
      <c r="B64" s="26" t="inlineStr">
        <is>
          <t>Utrekna</t>
        </is>
      </c>
      <c r="C64" s="27">
        <f>C58-C63</f>
        <v/>
      </c>
      <c r="D64" s="28" t="inlineStr">
        <is>
          <t>kr</t>
        </is>
      </c>
      <c r="E64" s="29" t="inlineStr">
        <is>
          <t>Dekningsbidrag (DB) utan tilskot = Produksjonsinntekter i alt [C58] − Variable kostnader i alt [C63]</t>
        </is>
      </c>
      <c r="F64" s="30" t="inlineStr">
        <is>
          <t>=C58-C63</t>
        </is>
      </c>
    </row>
    <row r="65">
      <c r="A65" s="25" t="inlineStr">
        <is>
          <t>Dekningsbidrag (DB) med tilskot</t>
        </is>
      </c>
      <c r="B65" s="26" t="inlineStr">
        <is>
          <t>Utrekna</t>
        </is>
      </c>
      <c r="C65" s="27">
        <f>C64+C29</f>
        <v/>
      </c>
      <c r="D65" s="28" t="inlineStr">
        <is>
          <t>kr</t>
        </is>
      </c>
      <c r="E65" s="29" t="inlineStr">
        <is>
          <t>Dekningsbidrag (DB) med tilskot = Dekningsbidrag (DB) utan tilskot [C64] + Produksjonstilskot fordelt på produksjonen [C29]</t>
        </is>
      </c>
      <c r="F65" s="30" t="inlineStr">
        <is>
          <t>=C64+C29</t>
        </is>
      </c>
    </row>
    <row r="66">
      <c r="A66" s="20" t="inlineStr">
        <is>
          <t>DB m/tilskot etter maskin- og innandørskostnad</t>
        </is>
      </c>
      <c r="B66" s="21" t="inlineStr">
        <is>
          <t>Utrekna</t>
        </is>
      </c>
      <c r="C66" s="22">
        <f>C65-C55-C56</f>
        <v/>
      </c>
      <c r="D66" s="12" t="inlineStr">
        <is>
          <t>kr</t>
        </is>
      </c>
      <c r="E66" s="23" t="inlineStr">
        <is>
          <t>DB m/tilskot etter maskin- og innandørskostnad = Dekningsbidrag (DB) med tilskot [C65] − Maskinkostnader fordelt [C55] − Innandørsmekanisering fordelt [C56]</t>
        </is>
      </c>
      <c r="F66" s="24" t="inlineStr">
        <is>
          <t>=C65-C55-C56</t>
        </is>
      </c>
    </row>
    <row r="67">
      <c r="A67" s="20" t="inlineStr">
        <is>
          <t>«Kueiningar»</t>
        </is>
      </c>
      <c r="B67" s="21" t="inlineStr">
        <is>
          <t>Utrekna</t>
        </is>
      </c>
      <c r="C67" s="38">
        <f>(C13+C14+C15+C16+C17+C18)/2/6</f>
        <v/>
      </c>
      <c r="D67" s="12" t="inlineStr">
        <is>
          <t>stk</t>
        </is>
      </c>
      <c r="E67"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7" s="24" t="inlineStr">
        <is>
          <t>=(C13+C14+C15+C16+C17+C18)/2/6</t>
        </is>
      </c>
    </row>
    <row r="68">
      <c r="A68" s="20" t="inlineStr">
        <is>
          <t>Prisendring pr dyr – sauer IB-gruppe</t>
        </is>
      </c>
      <c r="B68" s="21" t="inlineStr">
        <is>
          <t>Utrekna</t>
        </is>
      </c>
      <c r="C68" s="38">
        <f>IF(C13*C16=0,0,C22/C16-C19/C13)</f>
        <v/>
      </c>
      <c r="D68" s="12" t="inlineStr">
        <is>
          <t>kr</t>
        </is>
      </c>
      <c r="E68"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8" s="24" t="inlineStr">
        <is>
          <t>=IF(C13*C16=0,0,C22/C16-C19/C13)</t>
        </is>
      </c>
    </row>
    <row r="69">
      <c r="A69" s="20" t="inlineStr">
        <is>
          <t>Prisendring pr dyr – sauer tilført</t>
        </is>
      </c>
      <c r="B69" s="21" t="inlineStr">
        <is>
          <t>Utrekna</t>
        </is>
      </c>
      <c r="C69" s="38">
        <f>IF(C14*C17=0,0,C23/C17-C20/C14)</f>
        <v/>
      </c>
      <c r="D69" s="12" t="inlineStr">
        <is>
          <t>kr</t>
        </is>
      </c>
      <c r="E69"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69" s="24" t="inlineStr">
        <is>
          <t>=IF(C14*C17=0,0,C23/C17-C20/C14)</t>
        </is>
      </c>
    </row>
    <row r="70">
      <c r="A70" s="20" t="inlineStr">
        <is>
          <t>Prisendring pr dyr – sau/lam u. 12 md</t>
        </is>
      </c>
      <c r="B70" s="21" t="inlineStr">
        <is>
          <t>Utrekna</t>
        </is>
      </c>
      <c r="C70" s="38">
        <f>IF(C15*C18=0,0,C24/C18-C21/C15)</f>
        <v/>
      </c>
      <c r="D70" s="12" t="inlineStr">
        <is>
          <t>kr</t>
        </is>
      </c>
      <c r="E70" s="23" t="inlineStr">
        <is>
          <t>Prisendring pr dyr – sau/lam u. 12 md = HVIS(Sau/lam under 12 md pr 1.1. (stk) [C15] × Sau/lam under 12 md pr 31.12. (stk) [C18]=0; 0; Verdi sau/lam u. 12 md pr 31.12. [C24] / Sau/lam under 12 md pr 31.12. (stk) [C18] − Verdi sau/lam u. 12 md pr 1.1. [C21] / Sau/lam under 12 md pr 1.1. (stk) [C15])</t>
        </is>
      </c>
      <c r="F70" s="24" t="inlineStr">
        <is>
          <t>=IF(C15*C18=0,0,C24/C18-C21/C15)</t>
        </is>
      </c>
    </row>
    <row r="71">
      <c r="A71" s="20" t="inlineStr">
        <is>
          <t>Endring i buskapsverdi grunna prisendring</t>
        </is>
      </c>
      <c r="B71" s="21" t="inlineStr">
        <is>
          <t>Utrekna</t>
        </is>
      </c>
      <c r="C71" s="22">
        <f>C16*C68+C17*C69+C18*C70</f>
        <v/>
      </c>
      <c r="D71" s="12" t="inlineStr">
        <is>
          <t>kr</t>
        </is>
      </c>
      <c r="E71" s="23" t="inlineStr">
        <is>
          <t>Endring i buskapsverdi grunna prisendring = Sauer frå inngåande balanse pr 31.12. (stk) [C16] × Prisendring pr dyr – sauer IB-gruppe [C68] + Sauer tilført i året pr 31.12. (stk) [C17] × Prisendring pr dyr – sauer tilført [C69] + Sau/lam under 12 md pr 31.12. (stk) [C18] × Prisendring pr dyr – sau/lam u. 12 md [C70]</t>
        </is>
      </c>
      <c r="F71" s="24" t="inlineStr">
        <is>
          <t>=C16*C68+C17*C69+C18*C70</t>
        </is>
      </c>
    </row>
    <row r="72">
      <c r="A72" s="18" t="inlineStr">
        <is>
          <t>5. OUTPUT – Per eining (pr vf. sau)</t>
        </is>
      </c>
      <c r="B72" s="19" t="n"/>
      <c r="C72" s="19" t="n"/>
      <c r="D72" s="19" t="n"/>
      <c r="E72" s="19" t="n"/>
      <c r="F72" s="19" t="n"/>
    </row>
    <row r="73">
      <c r="A73" s="18" t="inlineStr">
        <is>
          <t>Produksjonsinntekter pr vf. sau</t>
        </is>
      </c>
      <c r="B73" s="19" t="n"/>
      <c r="C73" s="19" t="n"/>
      <c r="D73" s="19" t="n"/>
      <c r="E73" s="19" t="n"/>
      <c r="F73" s="19" t="n"/>
    </row>
    <row r="74">
      <c r="A74" s="20" t="inlineStr">
        <is>
          <t>Ull</t>
        </is>
      </c>
      <c r="B74" s="21" t="inlineStr">
        <is>
          <t>Utrekna</t>
        </is>
      </c>
      <c r="C74" s="38">
        <f>IF((C7)=0,0,(C30)/(C7))</f>
        <v/>
      </c>
      <c r="D74" s="12" t="inlineStr">
        <is>
          <t>kr</t>
        </is>
      </c>
      <c r="E74" s="23" t="inlineStr">
        <is>
          <t>Ull = Ull [C30] ÷ Tal vinterfôra sau [C7]</t>
        </is>
      </c>
      <c r="F74" s="24" t="inlineStr">
        <is>
          <t>=IF((C7)=0,0,(C30)/(C7))</t>
        </is>
      </c>
    </row>
    <row r="75">
      <c r="A75" s="20" t="inlineStr">
        <is>
          <t>Slakt</t>
        </is>
      </c>
      <c r="B75" s="21" t="inlineStr">
        <is>
          <t>Utrekna</t>
        </is>
      </c>
      <c r="C75" s="38">
        <f>IF((C7)=0,0,(C31)/(C7))</f>
        <v/>
      </c>
      <c r="D75" s="12" t="inlineStr">
        <is>
          <t>kr</t>
        </is>
      </c>
      <c r="E75" s="23" t="inlineStr">
        <is>
          <t>Slakt = Slakt [C31] ÷ Tal vinterfôra sau [C7]</t>
        </is>
      </c>
      <c r="F75" s="24" t="inlineStr">
        <is>
          <t>=IF((C7)=0,0,(C31)/(C7))</t>
        </is>
      </c>
    </row>
    <row r="76">
      <c r="A76" s="20" t="inlineStr">
        <is>
          <t>Livdyrsal</t>
        </is>
      </c>
      <c r="B76" s="21" t="inlineStr">
        <is>
          <t>Utrekna</t>
        </is>
      </c>
      <c r="C76" s="38">
        <f>IF((C7)=0,0,(C32)/(C7))</f>
        <v/>
      </c>
      <c r="D76" s="12" t="inlineStr">
        <is>
          <t>kr</t>
        </is>
      </c>
      <c r="E76" s="23" t="inlineStr">
        <is>
          <t>Livdyrsal = Livdyrsal [C32] ÷ Tal vinterfôra sau [C7]</t>
        </is>
      </c>
      <c r="F76" s="24" t="inlineStr">
        <is>
          <t>=IF((C7)=0,0,(C32)/(C7))</t>
        </is>
      </c>
    </row>
    <row r="77">
      <c r="A77" s="20" t="inlineStr">
        <is>
          <t>Buskap, beholdningsendring (+ = auke)</t>
        </is>
      </c>
      <c r="B77" s="21" t="inlineStr">
        <is>
          <t>Utrekna</t>
        </is>
      </c>
      <c r="C77" s="38">
        <f>IF((C7)=0,0,(C33)/(C7))</f>
        <v/>
      </c>
      <c r="D77" s="12" t="inlineStr">
        <is>
          <t>kr</t>
        </is>
      </c>
      <c r="E77" s="23" t="inlineStr">
        <is>
          <t>Buskap, beholdningsendring (+ = auke) = Buskap, beholdningsendring (+ = auke) [C33] ÷ Tal vinterfôra sau [C7]</t>
        </is>
      </c>
      <c r="F77" s="24" t="inlineStr">
        <is>
          <t>=IF((C7)=0,0,(C33)/(C7))</t>
        </is>
      </c>
    </row>
    <row r="78">
      <c r="A78" s="20" t="inlineStr">
        <is>
          <t>Andre inntekter</t>
        </is>
      </c>
      <c r="B78" s="21" t="inlineStr">
        <is>
          <t>Utrekna</t>
        </is>
      </c>
      <c r="C78" s="38">
        <f>IF((C7)=0,0,(C34)/(C7))</f>
        <v/>
      </c>
      <c r="D78" s="12" t="inlineStr">
        <is>
          <t>kr</t>
        </is>
      </c>
      <c r="E78" s="23" t="inlineStr">
        <is>
          <t>Andre inntekter = Andre inntekter [C34] ÷ Tal vinterfôra sau [C7]</t>
        </is>
      </c>
      <c r="F78" s="24" t="inlineStr">
        <is>
          <t>=IF((C7)=0,0,(C34)/(C7))</t>
        </is>
      </c>
    </row>
    <row r="79">
      <c r="A79" s="20" t="inlineStr">
        <is>
          <t>Produksjonsinntekter i alt</t>
        </is>
      </c>
      <c r="B79" s="21" t="inlineStr">
        <is>
          <t>Utrekna</t>
        </is>
      </c>
      <c r="C79" s="38">
        <f>IF((C7)=0,0,(C58)/(C7))</f>
        <v/>
      </c>
      <c r="D79" s="12" t="inlineStr">
        <is>
          <t>kr</t>
        </is>
      </c>
      <c r="E79" s="23" t="inlineStr">
        <is>
          <t>Produksjonsinntekter i alt = Produksjonsinntekter i alt [C58] ÷ Tal vinterfôra sau [C7]</t>
        </is>
      </c>
      <c r="F79" s="24" t="inlineStr">
        <is>
          <t>=IF((C7)=0,0,(C58)/(C7))</t>
        </is>
      </c>
    </row>
    <row r="80">
      <c r="A80" s="18" t="inlineStr">
        <is>
          <t>Variable kostnader pr vf. sau</t>
        </is>
      </c>
      <c r="B80" s="19" t="n"/>
      <c r="C80" s="19" t="n"/>
      <c r="D80" s="19" t="n"/>
      <c r="E80" s="19" t="n"/>
      <c r="F80" s="19" t="n"/>
    </row>
    <row r="81">
      <c r="A81" s="20" t="inlineStr">
        <is>
          <t>Eigen grovfôrproduksjon</t>
        </is>
      </c>
      <c r="B81" s="21" t="inlineStr">
        <is>
          <t>Utrekna</t>
        </is>
      </c>
      <c r="C81" s="38">
        <f>IF((C7)=0,0,(C61)/(C7))</f>
        <v/>
      </c>
      <c r="D81" s="12" t="inlineStr">
        <is>
          <t>kr</t>
        </is>
      </c>
      <c r="E81" s="23" t="inlineStr">
        <is>
          <t>Eigen grovfôrproduksjon = Sum eigen grovfôrproduksjon (utan lagerendring) [C61] ÷ Tal vinterfôra sau [C7]</t>
        </is>
      </c>
      <c r="F81" s="24" t="inlineStr">
        <is>
          <t>=IF((C7)=0,0,(C61)/(C7))</t>
        </is>
      </c>
    </row>
    <row r="82">
      <c r="A82" s="20" t="inlineStr">
        <is>
          <t>Kjøpt grovfôr</t>
        </is>
      </c>
      <c r="B82" s="21" t="inlineStr">
        <is>
          <t>Utrekna</t>
        </is>
      </c>
      <c r="C82" s="38">
        <f>IF((C7)=0,0,(C47)/(C7))</f>
        <v/>
      </c>
      <c r="D82" s="12" t="inlineStr">
        <is>
          <t>kr</t>
        </is>
      </c>
      <c r="E82" s="23" t="inlineStr">
        <is>
          <t>Kjøpt grovfôr = Kjøp grovfôr [C47] ÷ Tal vinterfôra sau [C7]</t>
        </is>
      </c>
      <c r="F82" s="24" t="inlineStr">
        <is>
          <t>=IF((C7)=0,0,(C47)/(C7))</t>
        </is>
      </c>
    </row>
    <row r="83">
      <c r="A83" s="20" t="inlineStr">
        <is>
          <t>Varelager endring grovfôr</t>
        </is>
      </c>
      <c r="B83" s="21" t="inlineStr">
        <is>
          <t>Utrekna</t>
        </is>
      </c>
      <c r="C83" s="38">
        <f>IF((C7)=0,0,(C45+C49)/(C7))</f>
        <v/>
      </c>
      <c r="D83" s="12" t="inlineStr">
        <is>
          <t>kr</t>
        </is>
      </c>
      <c r="E83" s="23" t="inlineStr">
        <is>
          <t>Varelager endring grovfôr = (Endring eigenprodusert grovfôr (+ = nedgang i lager) [C45] + Endring innkjøpt grovfôrlager [C49]) ÷ Tal vinterfôra sau [C7]</t>
        </is>
      </c>
      <c r="F83" s="24" t="inlineStr">
        <is>
          <t>=IF((C7)=0,0,(C45+C49)/(C7))</t>
        </is>
      </c>
    </row>
    <row r="84">
      <c r="A84" s="20" t="inlineStr">
        <is>
          <t>Beiteleige</t>
        </is>
      </c>
      <c r="B84" s="21" t="inlineStr">
        <is>
          <t>Utrekna</t>
        </is>
      </c>
      <c r="C84" s="38">
        <f>IF((C7)=0,0,(C48)/(C7))</f>
        <v/>
      </c>
      <c r="D84" s="12" t="inlineStr">
        <is>
          <t>kr</t>
        </is>
      </c>
      <c r="E84" s="23" t="inlineStr">
        <is>
          <t>Beiteleige = Beiteleige / dyr på beite [C48] ÷ Tal vinterfôra sau [C7]</t>
        </is>
      </c>
      <c r="F84" s="24" t="inlineStr">
        <is>
          <t>=IF((C7)=0,0,(C48)/(C7))</t>
        </is>
      </c>
    </row>
    <row r="85">
      <c r="A85" s="20" t="inlineStr">
        <is>
          <t>Kraftfôr mm.</t>
        </is>
      </c>
      <c r="B85" s="21" t="inlineStr">
        <is>
          <t>Utrekna</t>
        </is>
      </c>
      <c r="C85" s="38">
        <f>IF((C7)=0,0,(C50)/(C7))</f>
        <v/>
      </c>
      <c r="D85" s="12" t="inlineStr">
        <is>
          <t>kr</t>
        </is>
      </c>
      <c r="E85" s="23" t="inlineStr">
        <is>
          <t>Kraftfôr mm. = Kraftfôr mm. [C50] ÷ Tal vinterfôra sau [C7]</t>
        </is>
      </c>
      <c r="F85" s="24" t="inlineStr">
        <is>
          <t>=IF((C7)=0,0,(C50)/(C7))</t>
        </is>
      </c>
    </row>
    <row r="86">
      <c r="A86" s="20" t="inlineStr">
        <is>
          <t>Veterinær, medisin, semin mm.</t>
        </is>
      </c>
      <c r="B86" s="21" t="inlineStr">
        <is>
          <t>Utrekna</t>
        </is>
      </c>
      <c r="C86" s="38">
        <f>IF((C7)=0,0,(C51)/(C7))</f>
        <v/>
      </c>
      <c r="D86" s="12" t="inlineStr">
        <is>
          <t>kr</t>
        </is>
      </c>
      <c r="E86" s="23" t="inlineStr">
        <is>
          <t>Veterinær, medisin, semin mm. = Veterinær, medisin, semin mm. [C51] ÷ Tal vinterfôra sau [C7]</t>
        </is>
      </c>
      <c r="F86" s="24" t="inlineStr">
        <is>
          <t>=IF((C7)=0,0,(C51)/(C7))</t>
        </is>
      </c>
    </row>
    <row r="87">
      <c r="A87" s="20" t="inlineStr">
        <is>
          <t>Innkjøp dyr</t>
        </is>
      </c>
      <c r="B87" s="21" t="inlineStr">
        <is>
          <t>Utrekna</t>
        </is>
      </c>
      <c r="C87" s="38">
        <f>IF((C7)=0,0,(C52)/(C7))</f>
        <v/>
      </c>
      <c r="D87" s="12" t="inlineStr">
        <is>
          <t>kr</t>
        </is>
      </c>
      <c r="E87" s="23" t="inlineStr">
        <is>
          <t>Innkjøp dyr = Innkjøp dyr [C52] ÷ Tal vinterfôra sau [C7]</t>
        </is>
      </c>
      <c r="F87" s="24" t="inlineStr">
        <is>
          <t>=IF((C7)=0,0,(C52)/(C7))</t>
        </is>
      </c>
    </row>
    <row r="88">
      <c r="A88" s="20" t="inlineStr">
        <is>
          <t>Andre variable kostnader</t>
        </is>
      </c>
      <c r="B88" s="21" t="inlineStr">
        <is>
          <t>Utrekna</t>
        </is>
      </c>
      <c r="C88" s="38">
        <f>IF((C7)=0,0,(C53)/(C7))</f>
        <v/>
      </c>
      <c r="D88" s="12" t="inlineStr">
        <is>
          <t>kr</t>
        </is>
      </c>
      <c r="E88" s="23" t="inlineStr">
        <is>
          <t>Andre variable kostnader = Andre variable kostnader [C53] ÷ Tal vinterfôra sau [C7]</t>
        </is>
      </c>
      <c r="F88" s="24" t="inlineStr">
        <is>
          <t>=IF((C7)=0,0,(C53)/(C7))</t>
        </is>
      </c>
    </row>
    <row r="89">
      <c r="A89" s="20" t="inlineStr">
        <is>
          <t>Sum variable kostnader</t>
        </is>
      </c>
      <c r="B89" s="21" t="inlineStr">
        <is>
          <t>Utrekna</t>
        </is>
      </c>
      <c r="C89" s="38">
        <f>IF((C7)=0,0,(C63)/(C7))</f>
        <v/>
      </c>
      <c r="D89" s="12" t="inlineStr">
        <is>
          <t>kr</t>
        </is>
      </c>
      <c r="E89" s="23" t="inlineStr">
        <is>
          <t>Sum variable kostnader = Variable kostnader i alt [C63] ÷ Tal vinterfôra sau [C7]</t>
        </is>
      </c>
      <c r="F89" s="24" t="inlineStr">
        <is>
          <t>=IF((C7)=0,0,(C63)/(C7))</t>
        </is>
      </c>
    </row>
    <row r="90">
      <c r="A90" s="18" t="inlineStr">
        <is>
          <t>Resultat pr vf. sau</t>
        </is>
      </c>
      <c r="B90" s="19" t="n"/>
      <c r="C90" s="19" t="n"/>
      <c r="D90" s="19" t="n"/>
      <c r="E90" s="19" t="n"/>
      <c r="F90" s="19" t="n"/>
    </row>
    <row r="91">
      <c r="A91" s="20" t="inlineStr">
        <is>
          <t>DB utan tilskot</t>
        </is>
      </c>
      <c r="B91" s="21" t="inlineStr">
        <is>
          <t>Utrekna</t>
        </is>
      </c>
      <c r="C91" s="38">
        <f>IF((C7)=0,0,(C64)/(C7))</f>
        <v/>
      </c>
      <c r="D91" s="12" t="inlineStr">
        <is>
          <t>kr</t>
        </is>
      </c>
      <c r="E91" s="23" t="inlineStr">
        <is>
          <t>DB utan tilskot = Dekningsbidrag (DB) utan tilskot [C64] ÷ Tal vinterfôra sau [C7]</t>
        </is>
      </c>
      <c r="F91" s="24" t="inlineStr">
        <is>
          <t>=IF((C7)=0,0,(C64)/(C7))</t>
        </is>
      </c>
    </row>
    <row r="92">
      <c r="A92" s="20" t="inlineStr">
        <is>
          <t>Tilskot</t>
        </is>
      </c>
      <c r="B92" s="21" t="inlineStr">
        <is>
          <t>Utrekna</t>
        </is>
      </c>
      <c r="C92" s="38">
        <f>IF((C7)=0,0,(C29)/(C7))</f>
        <v/>
      </c>
      <c r="D92" s="12" t="inlineStr">
        <is>
          <t>kr</t>
        </is>
      </c>
      <c r="E92" s="23" t="inlineStr">
        <is>
          <t>Tilskot = Produksjonstilskot fordelt på produksjonen [C29] ÷ Tal vinterfôra sau [C7]</t>
        </is>
      </c>
      <c r="F92" s="24" t="inlineStr">
        <is>
          <t>=IF((C7)=0,0,(C29)/(C7))</t>
        </is>
      </c>
    </row>
    <row r="93">
      <c r="A93" s="20" t="inlineStr">
        <is>
          <t>DB med tilskot</t>
        </is>
      </c>
      <c r="B93" s="21" t="inlineStr">
        <is>
          <t>Utrekna</t>
        </is>
      </c>
      <c r="C93" s="38">
        <f>IF((C7)=0,0,(C65)/(C7))</f>
        <v/>
      </c>
      <c r="D93" s="12" t="inlineStr">
        <is>
          <t>kr</t>
        </is>
      </c>
      <c r="E93" s="23" t="inlineStr">
        <is>
          <t>DB med tilskot = Dekningsbidrag (DB) med tilskot [C65] ÷ Tal vinterfôra sau [C7]</t>
        </is>
      </c>
      <c r="F93" s="24" t="inlineStr">
        <is>
          <t>=IF((C7)=0,0,(C65)/(C7))</t>
        </is>
      </c>
    </row>
    <row r="94">
      <c r="A94" s="20" t="inlineStr">
        <is>
          <t>Maskinkostnader</t>
        </is>
      </c>
      <c r="B94" s="21" t="inlineStr">
        <is>
          <t>Utrekna</t>
        </is>
      </c>
      <c r="C94" s="38">
        <f>IF((C7)=0,0,(C55)/(C7))</f>
        <v/>
      </c>
      <c r="D94" s="12" t="inlineStr">
        <is>
          <t>kr</t>
        </is>
      </c>
      <c r="E94" s="23" t="inlineStr">
        <is>
          <t>Maskinkostnader = Maskinkostnader fordelt [C55] ÷ Tal vinterfôra sau [C7]</t>
        </is>
      </c>
      <c r="F94" s="24" t="inlineStr">
        <is>
          <t>=IF((C7)=0,0,(C55)/(C7))</t>
        </is>
      </c>
    </row>
    <row r="95">
      <c r="A95" s="20" t="inlineStr">
        <is>
          <t>Innandørsmekanisering</t>
        </is>
      </c>
      <c r="B95" s="21" t="inlineStr">
        <is>
          <t>Utrekna</t>
        </is>
      </c>
      <c r="C95" s="38">
        <f>IF((C7)=0,0,(C56)/(C7))</f>
        <v/>
      </c>
      <c r="D95" s="12" t="inlineStr">
        <is>
          <t>kr</t>
        </is>
      </c>
      <c r="E95" s="23" t="inlineStr">
        <is>
          <t>Innandørsmekanisering = Innandørsmekanisering fordelt [C56] ÷ Tal vinterfôra sau [C7]</t>
        </is>
      </c>
      <c r="F95" s="24" t="inlineStr">
        <is>
          <t>=IF((C7)=0,0,(C56)/(C7))</t>
        </is>
      </c>
    </row>
    <row r="96">
      <c r="A96" s="20" t="inlineStr">
        <is>
          <t>DB m/tilskot etter maskin og innandørsmek.</t>
        </is>
      </c>
      <c r="B96" s="21" t="inlineStr">
        <is>
          <t>Utrekna</t>
        </is>
      </c>
      <c r="C96" s="38">
        <f>IF((C7)=0,0,(C66)/(C7))</f>
        <v/>
      </c>
      <c r="D96" s="12" t="inlineStr">
        <is>
          <t>kr</t>
        </is>
      </c>
      <c r="E96" s="23" t="inlineStr">
        <is>
          <t>DB m/tilskot etter maskin og innandørsmek. = DB m/tilskot etter maskin- og innandørskostnad [C66] ÷ Tal vinterfôra sau [C7]</t>
        </is>
      </c>
      <c r="F96" s="24" t="inlineStr">
        <is>
          <t>=IF((C7)=0,0,(C66)/(C7))</t>
        </is>
      </c>
    </row>
    <row r="97">
      <c r="A97" s="18" t="inlineStr">
        <is>
          <t>6. OUTPUT – Nøkkeltal</t>
        </is>
      </c>
      <c r="B97" s="19" t="n"/>
      <c r="C97" s="19" t="n"/>
      <c r="D97" s="19" t="n"/>
      <c r="E97" s="19" t="n"/>
      <c r="F97" s="19" t="n"/>
    </row>
    <row r="98">
      <c r="A98" s="25" t="inlineStr">
        <is>
          <t>DB pr vf. sau u/tilskot</t>
        </is>
      </c>
      <c r="B98" s="26" t="inlineStr">
        <is>
          <t>Utrekna</t>
        </is>
      </c>
      <c r="C98" s="39">
        <f>IF((C7)=0,0,(C64)/(C7))</f>
        <v/>
      </c>
      <c r="D98" s="28" t="inlineStr">
        <is>
          <t>kr</t>
        </is>
      </c>
      <c r="E98" s="29" t="inlineStr">
        <is>
          <t>DB pr vf. sau u/tilskot = Dekningsbidrag (DB) utan tilskot [C64] ÷ Tal vinterfôra sau [C7]</t>
        </is>
      </c>
      <c r="F98" s="30" t="inlineStr">
        <is>
          <t>=IF((C7)=0,0,(C64)/(C7))</t>
        </is>
      </c>
    </row>
    <row r="99">
      <c r="A99" s="25" t="inlineStr">
        <is>
          <t>DB pr vf. sau m/tilskot</t>
        </is>
      </c>
      <c r="B99" s="26" t="inlineStr">
        <is>
          <t>Utrekna</t>
        </is>
      </c>
      <c r="C99" s="39">
        <f>IF((C7)=0,0,(C65)/(C7))</f>
        <v/>
      </c>
      <c r="D99" s="28" t="inlineStr">
        <is>
          <t>kr</t>
        </is>
      </c>
      <c r="E99" s="29" t="inlineStr">
        <is>
          <t>DB pr vf. sau m/tilskot = Dekningsbidrag (DB) med tilskot [C65] ÷ Tal vinterfôra sau [C7]</t>
        </is>
      </c>
      <c r="F99" s="30" t="inlineStr">
        <is>
          <t>=IF((C7)=0,0,(C65)/(C7))</t>
        </is>
      </c>
    </row>
    <row r="100">
      <c r="A100" s="25" t="inlineStr">
        <is>
          <t>DB pr dekar grovfôr u/tilskot</t>
        </is>
      </c>
      <c r="B100" s="26" t="inlineStr">
        <is>
          <t>Utrekna</t>
        </is>
      </c>
      <c r="C100" s="39">
        <f>IF(('Grovfôr'!C21*IF(('Grovfôr'!C38)=0,0,(C61)/('Grovfôr'!C38)))=0,0,(C64)/('Grovfôr'!C21*IF(('Grovfôr'!C38)=0,0,(C61)/('Grovfôr'!C38))))</f>
        <v/>
      </c>
      <c r="D100" s="28" t="inlineStr">
        <is>
          <t>kr</t>
        </is>
      </c>
      <c r="E100" s="29" t="inlineStr">
        <is>
          <t>DB pr dekar grovfôr u/tilskot = Dekningsbidrag (DB) utan tilskot [C64] ÷ (Korrigert grovfôrareal (overflate/1,25 + fulldyrka + kulturbeite/2,5) [Grovfôr!C21] × Sum eigen grovfôrproduksjon (utan lagerendring) [C61] ÷ Sum eigen grovfôrkostnad (fordelingsnøkkel areal) [Grovfôr!C38])   (Grovfôrarealet blir fordelt etter produksjonen sin del av eigen grovfôrkostnad)</t>
        </is>
      </c>
      <c r="F100" s="30" t="inlineStr">
        <is>
          <t>=IF(('Grovfôr'!C21*IF(('Grovfôr'!C38)=0,0,(C61)/('Grovfôr'!C38)))=0,0,(C64)/('Grovfôr'!C21*IF(('Grovfôr'!C38)=0,0,(C61)/('Grovfôr'!C38))))</t>
        </is>
      </c>
    </row>
    <row r="101">
      <c r="A101" s="25" t="inlineStr">
        <is>
          <t>DB pr dekar grovfôr m/tilskot</t>
        </is>
      </c>
      <c r="B101" s="26" t="inlineStr">
        <is>
          <t>Utrekna</t>
        </is>
      </c>
      <c r="C101" s="39">
        <f>IF(('Grovfôr'!C21*IF(('Grovfôr'!C38)=0,0,(C61)/('Grovfôr'!C38)))=0,0,(C65)/('Grovfôr'!C21*IF(('Grovfôr'!C38)=0,0,(C61)/('Grovfôr'!C38))))</f>
        <v/>
      </c>
      <c r="D101" s="28" t="inlineStr">
        <is>
          <t>kr</t>
        </is>
      </c>
      <c r="E101" s="29" t="inlineStr">
        <is>
          <t>DB pr dekar grovfôr m/tilskot = Dekningsbidrag (DB) med tilskot [C65] ÷ (Korrigert grovfôrareal (overflate/1,25 + fulldyrka + kulturbeite/2,5) [Grovfôr!C21] × Sum eigen grovfôrproduksjon (utan lagerendring) [C61] ÷ Sum eigen grovfôrkostnad (fordelingsnøkkel areal) [Grovfôr!C38])</t>
        </is>
      </c>
      <c r="F101" s="30" t="inlineStr">
        <is>
          <t>=IF(('Grovfôr'!C21*IF(('Grovfôr'!C38)=0,0,(C61)/('Grovfôr'!C38)))=0,0,(C65)/('Grovfôr'!C21*IF(('Grovfôr'!C38)=0,0,(C61)/('Grovfôr'!C38))))</t>
        </is>
      </c>
    </row>
    <row r="102">
      <c r="A102" s="25" t="inlineStr">
        <is>
          <t>Variabel grovfôrkostnad pr dekar</t>
        </is>
      </c>
      <c r="B102" s="26" t="inlineStr">
        <is>
          <t>Lenkje frå anna ark</t>
        </is>
      </c>
      <c r="C102" s="40">
        <f>'Grovfôr'!C52</f>
        <v/>
      </c>
      <c r="D102" s="28" t="inlineStr">
        <is>
          <t>kr</t>
        </is>
      </c>
      <c r="E102" s="29" t="inlineStr">
        <is>
          <t>Variabel grovfôrkostnad pr dekar = Variabel grovfôrkostnad pr korrigert dekar [Grovfôr!C52]</t>
        </is>
      </c>
      <c r="F102" s="30" t="inlineStr">
        <is>
          <t>='Grovfôr'!C52</t>
        </is>
      </c>
    </row>
    <row r="103">
      <c r="A103" s="25" t="inlineStr">
        <is>
          <t>Maskinkostnader pr dekar grovfôr</t>
        </is>
      </c>
      <c r="B103" s="26" t="inlineStr">
        <is>
          <t>Lenkje frå anna ark</t>
        </is>
      </c>
      <c r="C103" s="40">
        <f>'Grovfôr'!C53</f>
        <v/>
      </c>
      <c r="D103" s="28" t="inlineStr">
        <is>
          <t>kr</t>
        </is>
      </c>
      <c r="E103" s="29" t="inlineStr">
        <is>
          <t>Maskinkostnader pr dekar grovfôr = Maskinkostnader pr dekar grovfôr [Grovfôr!C53]</t>
        </is>
      </c>
      <c r="F103" s="30" t="inlineStr">
        <is>
          <t>='Grovfôr'!C53</t>
        </is>
      </c>
    </row>
    <row r="104">
      <c r="A104" s="25" t="inlineStr">
        <is>
          <t>Korrigerte dekar pr «kueining»</t>
        </is>
      </c>
      <c r="B104" s="26" t="inlineStr">
        <is>
          <t>Lenkje frå anna ark</t>
        </is>
      </c>
      <c r="C104" s="40">
        <f>'Grovfôr'!C54</f>
        <v/>
      </c>
      <c r="D104" s="28" t="inlineStr">
        <is>
          <t>da</t>
        </is>
      </c>
      <c r="E104" s="29" t="inlineStr">
        <is>
          <t>Korrigerte dekar pr «kueining» = Korrigerte dekar pr «kueining» [Grovfôr!C54]</t>
        </is>
      </c>
      <c r="F104" s="30" t="inlineStr">
        <is>
          <t>='Grovfôr'!C54</t>
        </is>
      </c>
    </row>
    <row r="105">
      <c r="A105" s="25" t="inlineStr">
        <is>
          <t>Snitt kjøtpris pr kg slakt (u/distriktstilskot)</t>
        </is>
      </c>
      <c r="B105" s="26" t="inlineStr">
        <is>
          <t>Utrekna</t>
        </is>
      </c>
      <c r="C105" s="39">
        <f>IF((C8)=0,0,(IF(C36&gt;0,C36,C31-C35))/(C8))</f>
        <v/>
      </c>
      <c r="D105" s="28" t="inlineStr">
        <is>
          <t>kr</t>
        </is>
      </c>
      <c r="E105" s="29" t="inlineStr">
        <is>
          <t>Snitt kjøtpris pr kg slakt (u/distriktstilskot) = (HVIS(Herav slakteinntekt til kjøtpris (3040–3046, 3048–3049) [C36]&gt;0; Herav slakteinntekt til kjøtpris (3040–3046, 3048–3049) [C36]; Slakt [C31] − Herav distriktstilskot kjøt [C35])) ÷ Kg slakt (sau og lam) [C8]</t>
        </is>
      </c>
      <c r="F105" s="30" t="inlineStr">
        <is>
          <t>=IF((C8)=0,0,(IF(C36&gt;0,C36,C31-C35))/(C8))</t>
        </is>
      </c>
    </row>
    <row r="106">
      <c r="A106" s="25" t="inlineStr">
        <is>
          <t>Innandørsmekanisering pr sau</t>
        </is>
      </c>
      <c r="B106" s="26" t="inlineStr">
        <is>
          <t>Utrekna</t>
        </is>
      </c>
      <c r="C106" s="39">
        <f>IF((C7)=0,0,(C56)/(C7))</f>
        <v/>
      </c>
      <c r="D106" s="28" t="inlineStr">
        <is>
          <t>kr</t>
        </is>
      </c>
      <c r="E106" s="29" t="inlineStr">
        <is>
          <t>Innandørsmekanisering pr sau = Innandørsmekanisering fordelt [C56] ÷ Tal vinterfôra sau [C7]</t>
        </is>
      </c>
      <c r="F106" s="30" t="inlineStr">
        <is>
          <t>=IF((C7)=0,0,(C56)/(C7))</t>
        </is>
      </c>
    </row>
    <row r="107">
      <c r="A107" s="25" t="inlineStr">
        <is>
          <t>Kg slakt pr vf. sau</t>
        </is>
      </c>
      <c r="B107" s="26" t="inlineStr">
        <is>
          <t>Utrekna</t>
        </is>
      </c>
      <c r="C107" s="37">
        <f>IF(C9&gt;0,C9,IF((C7)=0,0,(C8)/(C7)))</f>
        <v/>
      </c>
      <c r="D107" s="28" t="inlineStr">
        <is>
          <t>kg</t>
        </is>
      </c>
      <c r="E107" s="29" t="inlineStr">
        <is>
          <t>Kg slakt pr vf. sau = HVIS(Kg slakt pr vf. sau frå produksjonstabellen (0 = rekna ut) [C9]&gt;0; Kg slakt pr vf. sau frå produksjonstabellen (0 = rekna ut) [C9]; Kg slakt (sau og lam) [C8] ÷ Tal vinterfôra sau [C7])</t>
        </is>
      </c>
      <c r="F107" s="30" t="inlineStr">
        <is>
          <t>=IF(C9&gt;0,C9,IF((C7)=0,0,(C8)/(C7)))</t>
        </is>
      </c>
    </row>
    <row r="108">
      <c r="A108" s="25" t="inlineStr">
        <is>
          <t>Gagnslam pr vf. sau</t>
        </is>
      </c>
      <c r="B108" s="26" t="inlineStr">
        <is>
          <t>Utrekna</t>
        </is>
      </c>
      <c r="C108" s="39">
        <f>IF((C7)=0,0,(C11+C18-C10)/(C7))</f>
        <v/>
      </c>
      <c r="D108" s="28" t="inlineStr">
        <is>
          <t>stk</t>
        </is>
      </c>
      <c r="E108" s="29" t="inlineStr">
        <is>
          <t>Gagnslam pr vf. sau = (Tal slakta/selde årslam (mai–des) [C11] + Sau/lam under 12 md pr 31.12. (stk) [C18] − Tal kjøpte lam (mai–des) [C10]) ÷ Tal vinterfôra sau [C7]   ((Selde/slakta årslam + lam på lager 31.12. – kjøpte lam) delt på vf. sau)</t>
        </is>
      </c>
      <c r="F108" s="30" t="inlineStr">
        <is>
          <t>=IF((C7)=0,0,(C11+C18-C10)/(C7))</t>
        </is>
      </c>
    </row>
    <row r="109">
      <c r="A109" s="25" t="inlineStr">
        <is>
          <t>Del dyr på utmarksbeite</t>
        </is>
      </c>
      <c r="B109" s="26" t="inlineStr">
        <is>
          <t>Utrekna</t>
        </is>
      </c>
      <c r="C109" s="33">
        <f>IF((C16+C17+C18+C12)=0,0,('Grovfôr'!C12+'Grovfôr'!C13)/(C16+C17+C18+C12))</f>
        <v/>
      </c>
      <c r="D109" s="28" t="inlineStr">
        <is>
          <t>%</t>
        </is>
      </c>
      <c r="E109"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09" s="30" t="inlineStr">
        <is>
          <t>=IF((C16+C17+C18+C12)=0,0,('Grovfôr'!C12+'Grovfôr'!C13)/(C16+C17+C18+C12))</t>
        </is>
      </c>
    </row>
    <row r="110">
      <c r="A110" s="25" t="inlineStr">
        <is>
          <t>Endra DB pr vf. sau grunna prisendring på dyr</t>
        </is>
      </c>
      <c r="B110" s="26" t="inlineStr">
        <is>
          <t>Utrekna</t>
        </is>
      </c>
      <c r="C110" s="39">
        <f>ROUND(IF((C7)=0,0,(C71)/(C7)),0)</f>
        <v/>
      </c>
      <c r="D110" s="28" t="inlineStr">
        <is>
          <t>kr</t>
        </is>
      </c>
      <c r="E110" s="29" t="inlineStr">
        <is>
          <t>Endra DB pr vf. sau grunna prisendring på dyr = AVRUND(Endring i buskapsverdi grunna prisendring [C71] ÷ Tal vinterfôra sau [C7]; 0)   (Positivt tal = auka DB fordi verdien pr dyr har gått opp)</t>
        </is>
      </c>
      <c r="F110" s="30" t="inlineStr">
        <is>
          <t>=ROUND(IF((C7)=0,0,(C71)/(C7)),0)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20" t="inlineStr">
        <is>
          <t>Fôrnorm beite (FEm)</t>
        </is>
      </c>
      <c r="B14" s="24" t="inlineStr">
        <is>
          <t>Fôrnorm pr geit og år (jf. marginalanalysen). Brukt til arealbehov og fordelingsnøklar</t>
        </is>
      </c>
      <c r="C14" s="31" t="n">
        <v>250</v>
      </c>
      <c r="D14" s="12" t="inlineStr">
        <is>
          <t>FEm</t>
        </is>
      </c>
      <c r="E14" s="24" t="inlineStr">
        <is>
          <t>Input. Hentast frå: Fôrnorm pr geit og år (jf. marginalanalysen). Brukt til arealbehov og fordelingsnøklar.</t>
        </is>
      </c>
      <c r="F14" s="32" t="n"/>
    </row>
    <row r="15">
      <c r="A15" s="20" t="inlineStr">
        <is>
          <t>Fôrnorm eige grovfôr vinter (FEm)</t>
        </is>
      </c>
      <c r="B15" s="24" t="inlineStr">
        <is>
          <t>Fôrnorm pr geit og år (jf. marginalanalysen). Brukt til arealbehov og fordelingsnøklar</t>
        </is>
      </c>
      <c r="C15" s="31" t="n">
        <v>350</v>
      </c>
      <c r="D15" s="12" t="inlineStr">
        <is>
          <t>FEm</t>
        </is>
      </c>
      <c r="E15" s="24" t="inlineStr">
        <is>
          <t>Input. Hentast frå: Fôrnorm pr geit og år (jf. marginalanalysen). Brukt til arealbehov og fordelingsnøklar.</t>
        </is>
      </c>
      <c r="F15" s="32" t="n"/>
    </row>
    <row r="16">
      <c r="A16" s="20" t="inlineStr">
        <is>
          <t>Fôrnorm kraftfôr (FEm)</t>
        </is>
      </c>
      <c r="B16" s="24" t="inlineStr">
        <is>
          <t>Fôrnorm pr geit og år (jf. marginalanalysen). Brukt til arealbehov og fordelingsnøklar</t>
        </is>
      </c>
      <c r="C16" s="31" t="n">
        <v>250</v>
      </c>
      <c r="D16" s="12" t="inlineStr">
        <is>
          <t>FEm</t>
        </is>
      </c>
      <c r="E16" s="24" t="inlineStr">
        <is>
          <t>Input. Hentast frå: Fôrnorm pr geit og år (jf. marginalanalysen). Brukt til arealbehov og fordelingsnøklar.</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380000</v>
      </c>
      <c r="D18" s="12" t="inlineStr">
        <is>
          <t>kr</t>
        </is>
      </c>
      <c r="E18" s="24" t="inlineStr">
        <is>
          <t>Input. Hentast frå: 34xx (ikkje 344x avløysartilskot).</t>
        </is>
      </c>
      <c r="F18" s="32" t="n"/>
    </row>
    <row r="19">
      <c r="A19" s="20" t="inlineStr">
        <is>
          <t>Mjølk</t>
        </is>
      </c>
      <c r="B19" s="24" t="inlineStr">
        <is>
          <t>3075, 3079, 3163/3173 (.482)</t>
        </is>
      </c>
      <c r="C19" s="31" t="n">
        <v>420000</v>
      </c>
      <c r="D19" s="12" t="inlineStr">
        <is>
          <t>kr</t>
        </is>
      </c>
      <c r="E19" s="24" t="inlineStr">
        <is>
          <t>Input. Hentast frå: 3075, 3079, 3163/3173 (.482).</t>
        </is>
      </c>
      <c r="F19" s="32" t="n"/>
    </row>
    <row r="20">
      <c r="A20" s="20" t="inlineStr">
        <is>
          <t>Slakt</t>
        </is>
      </c>
      <c r="B20" s="24" t="inlineStr">
        <is>
          <t>3040-3049, 3162, 3172, 3078</t>
        </is>
      </c>
      <c r="C20" s="31" t="n">
        <v>15000</v>
      </c>
      <c r="D20" s="12" t="inlineStr">
        <is>
          <t>kr</t>
        </is>
      </c>
      <c r="E20" s="24" t="inlineStr">
        <is>
          <t>Input. Hentast frå: 3040-3049, 3162, 3172, 3078.</t>
        </is>
      </c>
      <c r="F20" s="32" t="n"/>
    </row>
    <row r="21">
      <c r="A21" s="20" t="inlineStr">
        <is>
          <t>Livdyrsal</t>
        </is>
      </c>
      <c r="B21" s="24" t="inlineStr">
        <is>
          <t>3050-3059</t>
        </is>
      </c>
      <c r="C21" s="31" t="n">
        <v>10000</v>
      </c>
      <c r="D21" s="12" t="inlineStr">
        <is>
          <t>kr</t>
        </is>
      </c>
      <c r="E21" s="24" t="inlineStr">
        <is>
          <t>Input. Hentast frå: 3050-3059.</t>
        </is>
      </c>
      <c r="F21" s="32" t="n"/>
    </row>
    <row r="22">
      <c r="A22" s="20" t="inlineStr">
        <is>
          <t>Buskap, beholdningsendring (+ = auke)</t>
        </is>
      </c>
      <c r="B22" s="24" t="inlineStr">
        <is>
          <t>4690-4698 (forteikn snudd)</t>
        </is>
      </c>
      <c r="C22" s="31" t="n">
        <v>0</v>
      </c>
      <c r="D22" s="12" t="inlineStr">
        <is>
          <t>kr</t>
        </is>
      </c>
      <c r="E22" s="24" t="inlineStr">
        <is>
          <t>Input. Hentast frå: 4690-4698 (forteikn snudd).</t>
        </is>
      </c>
      <c r="F22" s="32" t="n"/>
    </row>
    <row r="23">
      <c r="A23" s="20" t="inlineStr">
        <is>
          <t>Andre inntekter</t>
        </is>
      </c>
      <c r="B23" s="24" t="inlineStr">
        <is>
          <t>andre 3xxx kopla til produksjonen</t>
        </is>
      </c>
      <c r="C23" s="31" t="n">
        <v>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0</v>
      </c>
      <c r="D24" s="12" t="inlineStr">
        <is>
          <t>kr</t>
        </is>
      </c>
      <c r="E24" s="24" t="inlineStr">
        <is>
          <t>Input. Hentast frå: Del av mjølkeinntekta (avrekning). Er med i beløpet over, brukt berre til prisutrekning.</t>
        </is>
      </c>
      <c r="F24" s="32" t="n"/>
    </row>
    <row r="25">
      <c r="A25" s="18" t="inlineStr">
        <is>
          <t>Variable kostnader – eigen grovfôrproduksjon</t>
        </is>
      </c>
      <c r="B25" s="19" t="n"/>
      <c r="C25" s="19" t="n"/>
      <c r="D25" s="19" t="n"/>
      <c r="E25" s="19" t="n"/>
      <c r="F25" s="19" t="n"/>
    </row>
    <row r="26">
      <c r="A26" s="20" t="inlineStr">
        <is>
          <t>Såfrø / grasfrø</t>
        </is>
      </c>
      <c r="B26" s="24" t="inlineStr">
        <is>
          <t>4001</t>
        </is>
      </c>
      <c r="C26" s="31" t="n">
        <v>5000</v>
      </c>
      <c r="D26" s="12" t="inlineStr">
        <is>
          <t>kr</t>
        </is>
      </c>
      <c r="E26" s="24" t="inlineStr">
        <is>
          <t>Input. Hentast frå: 4001.</t>
        </is>
      </c>
      <c r="F26" s="32" t="n"/>
    </row>
    <row r="27">
      <c r="A27" s="20" t="inlineStr">
        <is>
          <t>Plantevernmiddel</t>
        </is>
      </c>
      <c r="B27" s="24" t="inlineStr">
        <is>
          <t>4110, 4191</t>
        </is>
      </c>
      <c r="C27" s="31" t="n">
        <v>1000</v>
      </c>
      <c r="D27" s="12" t="inlineStr">
        <is>
          <t>kr</t>
        </is>
      </c>
      <c r="E27" s="24" t="inlineStr">
        <is>
          <t>Input. Hentast frå: 4110, 4191.</t>
        </is>
      </c>
      <c r="F27" s="32" t="n"/>
    </row>
    <row r="28">
      <c r="A28" s="20" t="inlineStr">
        <is>
          <t>Rundballeplast mm.</t>
        </is>
      </c>
      <c r="B28" s="24" t="inlineStr">
        <is>
          <t>4140, 4194</t>
        </is>
      </c>
      <c r="C28" s="31" t="n">
        <v>10000</v>
      </c>
      <c r="D28" s="12" t="inlineStr">
        <is>
          <t>kr</t>
        </is>
      </c>
      <c r="E28" s="24" t="inlineStr">
        <is>
          <t>Input. Hentast frå: 4140, 4194.</t>
        </is>
      </c>
      <c r="F28" s="32" t="n"/>
    </row>
    <row r="29">
      <c r="A29" s="20" t="inlineStr">
        <is>
          <t>Handelsgjødsel</t>
        </is>
      </c>
      <c r="B29" s="24" t="inlineStr">
        <is>
          <t>4050, 4095</t>
        </is>
      </c>
      <c r="C29" s="31" t="n">
        <v>25000</v>
      </c>
      <c r="D29" s="12" t="inlineStr">
        <is>
          <t>kr</t>
        </is>
      </c>
      <c r="E29" s="24" t="inlineStr">
        <is>
          <t>Input. Hentast frå: 4050, 4095.</t>
        </is>
      </c>
      <c r="F29" s="32" t="n"/>
    </row>
    <row r="30">
      <c r="A30" s="20" t="inlineStr">
        <is>
          <t>Kalk</t>
        </is>
      </c>
      <c r="B30" s="24" t="inlineStr">
        <is>
          <t>4057</t>
        </is>
      </c>
      <c r="C30" s="31" t="n">
        <v>3000</v>
      </c>
      <c r="D30" s="12" t="inlineStr">
        <is>
          <t>kr</t>
        </is>
      </c>
      <c r="E30" s="24" t="inlineStr">
        <is>
          <t>Input. Hentast frå: 4057.</t>
        </is>
      </c>
      <c r="F30" s="32" t="n"/>
    </row>
    <row r="31">
      <c r="A31" s="20" t="inlineStr">
        <is>
          <t>Konserveringsmiddel</t>
        </is>
      </c>
      <c r="B31" s="24" t="inlineStr">
        <is>
          <t>4080, 4098</t>
        </is>
      </c>
      <c r="C31" s="31" t="n">
        <v>4000</v>
      </c>
      <c r="D31" s="12" t="inlineStr">
        <is>
          <t>kr</t>
        </is>
      </c>
      <c r="E31" s="24" t="inlineStr">
        <is>
          <t>Input. Hentast frå: 4080, 4098.</t>
        </is>
      </c>
      <c r="F31" s="32" t="n"/>
    </row>
    <row r="32">
      <c r="A32" s="20" t="inlineStr">
        <is>
          <t>Endring anna varelager (variable kostn.)</t>
        </is>
      </c>
      <c r="B32" s="24" t="inlineStr">
        <is>
          <t>4090</t>
        </is>
      </c>
      <c r="C32" s="31" t="n">
        <v>0</v>
      </c>
      <c r="D32" s="12" t="inlineStr">
        <is>
          <t>kr</t>
        </is>
      </c>
      <c r="E32" s="24" t="inlineStr">
        <is>
          <t>Input. Hentast frå: 4090.</t>
        </is>
      </c>
      <c r="F32" s="32" t="n"/>
    </row>
    <row r="33">
      <c r="A33" s="20" t="inlineStr">
        <is>
          <t>Endring eigenprodusert grovfôr (+ = nedgang i lager)</t>
        </is>
      </c>
      <c r="B33" s="24" t="inlineStr">
        <is>
          <t>4297</t>
        </is>
      </c>
      <c r="C33" s="31" t="n">
        <v>0</v>
      </c>
      <c r="D33" s="12" t="inlineStr">
        <is>
          <t>kr</t>
        </is>
      </c>
      <c r="E33" s="24" t="inlineStr">
        <is>
          <t>Input. Hentast frå: 4297.</t>
        </is>
      </c>
      <c r="F33" s="32" t="n"/>
    </row>
    <row r="34">
      <c r="A34" s="18" t="inlineStr">
        <is>
          <t>Variable kostnader – anna</t>
        </is>
      </c>
      <c r="B34" s="19" t="n"/>
      <c r="C34" s="19" t="n"/>
      <c r="D34" s="19" t="n"/>
      <c r="E34" s="19" t="n"/>
      <c r="F34" s="19" t="n"/>
    </row>
    <row r="35">
      <c r="A35" s="20" t="inlineStr">
        <is>
          <t>Kjøp grovfôr</t>
        </is>
      </c>
      <c r="B35" s="24" t="inlineStr">
        <is>
          <t>4030</t>
        </is>
      </c>
      <c r="C35" s="31" t="n">
        <v>15000</v>
      </c>
      <c r="D35" s="12" t="inlineStr">
        <is>
          <t>kr</t>
        </is>
      </c>
      <c r="E35" s="24" t="inlineStr">
        <is>
          <t>Input. Hentast frå: 4030.</t>
        </is>
      </c>
      <c r="F35" s="32" t="n"/>
    </row>
    <row r="36">
      <c r="A36" s="20" t="inlineStr">
        <is>
          <t>Beiteleige / dyr på beite</t>
        </is>
      </c>
      <c r="B36" s="24" t="inlineStr">
        <is>
          <t>4031</t>
        </is>
      </c>
      <c r="C36" s="31" t="n">
        <v>0</v>
      </c>
      <c r="D36" s="12" t="inlineStr">
        <is>
          <t>kr</t>
        </is>
      </c>
      <c r="E36" s="24" t="inlineStr">
        <is>
          <t>Input. Hentast frå: 4031.</t>
        </is>
      </c>
      <c r="F36" s="32" t="n"/>
    </row>
    <row r="37">
      <c r="A37" s="20" t="inlineStr">
        <is>
          <t>Endring innkjøpt grovfôrlager</t>
        </is>
      </c>
      <c r="B37" s="24" t="inlineStr">
        <is>
          <t>4093</t>
        </is>
      </c>
      <c r="C37" s="31" t="n">
        <v>0</v>
      </c>
      <c r="D37" s="12" t="inlineStr">
        <is>
          <t>kr</t>
        </is>
      </c>
      <c r="E37" s="24" t="inlineStr">
        <is>
          <t>Input. Hentast frå: 4093.</t>
        </is>
      </c>
      <c r="F37" s="32" t="n"/>
    </row>
    <row r="38">
      <c r="A38" s="20" t="inlineStr">
        <is>
          <t>Kraftfôr mm.</t>
        </is>
      </c>
      <c r="B38" s="24" t="inlineStr">
        <is>
          <t>4020-4029, 4040-4049, 4092, 4094</t>
        </is>
      </c>
      <c r="C38" s="31" t="n">
        <v>110000</v>
      </c>
      <c r="D38" s="12" t="inlineStr">
        <is>
          <t>kr</t>
        </is>
      </c>
      <c r="E38" s="24" t="inlineStr">
        <is>
          <t>Input. Hentast frå: 4020-4029, 4040-4049, 4092, 4094.</t>
        </is>
      </c>
      <c r="F38" s="32" t="n"/>
    </row>
    <row r="39">
      <c r="A39" s="20" t="inlineStr">
        <is>
          <t>Veterinær, medisin, semin mm.</t>
        </is>
      </c>
      <c r="B39" s="24" t="inlineStr">
        <is>
          <t>4120, 4192, 4520-4529</t>
        </is>
      </c>
      <c r="C39" s="31" t="n">
        <v>18000</v>
      </c>
      <c r="D39" s="12" t="inlineStr">
        <is>
          <t>kr</t>
        </is>
      </c>
      <c r="E39" s="24" t="inlineStr">
        <is>
          <t>Input. Hentast frå: 4120, 4192, 4520-4529.</t>
        </is>
      </c>
      <c r="F39" s="32" t="n"/>
    </row>
    <row r="40">
      <c r="A40" s="20" t="inlineStr">
        <is>
          <t>Innkjøp dyr</t>
        </is>
      </c>
      <c r="B40" s="24" t="inlineStr">
        <is>
          <t>4600-4689</t>
        </is>
      </c>
      <c r="C40" s="31" t="n">
        <v>0</v>
      </c>
      <c r="D40" s="12" t="inlineStr">
        <is>
          <t>kr</t>
        </is>
      </c>
      <c r="E40" s="24" t="inlineStr">
        <is>
          <t>Input. Hentast frå: 4600-4689.</t>
        </is>
      </c>
      <c r="F40" s="32" t="n"/>
    </row>
    <row r="41">
      <c r="A41" s="20" t="inlineStr">
        <is>
          <t>Andre variable kostnader</t>
        </is>
      </c>
      <c r="B41" s="24" t="inlineStr">
        <is>
          <t>4130-4139, 4193, 4530-4549, 4560-4569 + andre 4xxx</t>
        </is>
      </c>
      <c r="C41" s="31" t="n">
        <v>40000</v>
      </c>
      <c r="D41" s="12" t="inlineStr">
        <is>
          <t>kr</t>
        </is>
      </c>
      <c r="E41" s="24" t="inlineStr">
        <is>
          <t>Input. Hentast frå: 4130-4139, 4193, 4530-4549, 4560-4569 + andre 4xxx.</t>
        </is>
      </c>
      <c r="F41" s="32" t="n"/>
    </row>
    <row r="42">
      <c r="A42" s="18" t="inlineStr">
        <is>
          <t>3. INPUT – Fordelte faste kostnader (lenka frå arket «Faste kostnader»)</t>
        </is>
      </c>
      <c r="B42" s="19" t="n"/>
      <c r="C42" s="19" t="n"/>
      <c r="D42" s="19" t="n"/>
      <c r="E42" s="19" t="n"/>
      <c r="F42" s="19" t="n"/>
    </row>
    <row r="43">
      <c r="A43" s="20" t="inlineStr">
        <is>
          <t>Maskinkostnader fordelt</t>
        </is>
      </c>
      <c r="B43" s="21" t="inlineStr">
        <is>
          <t>Lenkje frå anna ark</t>
        </is>
      </c>
      <c r="C43" s="13">
        <f>'Faste kostnader'!C54</f>
        <v/>
      </c>
      <c r="D43" s="12" t="inlineStr">
        <is>
          <t>kr</t>
        </is>
      </c>
      <c r="E43" s="23" t="inlineStr">
        <is>
          <t>Maskinkostnader fordelt = Maskinkostnader – Geit [Faste kostnader!C54]</t>
        </is>
      </c>
      <c r="F43" s="24" t="inlineStr">
        <is>
          <t>='Faste kostnader'!C54</t>
        </is>
      </c>
    </row>
    <row r="44">
      <c r="A44" s="20" t="inlineStr">
        <is>
          <t>Innandørsmekanisering fordelt</t>
        </is>
      </c>
      <c r="B44" s="21" t="inlineStr">
        <is>
          <t>Lenkje frå anna ark</t>
        </is>
      </c>
      <c r="C44" s="13">
        <f>'Faste kostnader'!C73</f>
        <v/>
      </c>
      <c r="D44" s="12" t="inlineStr">
        <is>
          <t>kr</t>
        </is>
      </c>
      <c r="E44" s="23" t="inlineStr">
        <is>
          <t>Innandørsmekanisering fordelt = Innandørsmekanisering – Geit [Faste kostnader!C73]</t>
        </is>
      </c>
      <c r="F44" s="24" t="inlineStr">
        <is>
          <t>='Faste kostnader'!C73</t>
        </is>
      </c>
    </row>
    <row r="45">
      <c r="A45" s="18" t="inlineStr">
        <is>
          <t>4. UTREKNING – Totalt for produksjonen</t>
        </is>
      </c>
      <c r="B45" s="19" t="n"/>
      <c r="C45" s="19" t="n"/>
      <c r="D45" s="19" t="n"/>
      <c r="E45" s="19" t="n"/>
      <c r="F45" s="19" t="n"/>
    </row>
    <row r="46">
      <c r="A46" s="20" t="inlineStr">
        <is>
          <t>Produksjonsinntekter i alt</t>
        </is>
      </c>
      <c r="B46" s="21" t="inlineStr">
        <is>
          <t>Utrekna</t>
        </is>
      </c>
      <c r="C46" s="22">
        <f>C19+C20+C21+C22+C23</f>
        <v/>
      </c>
      <c r="D46" s="12" t="inlineStr">
        <is>
          <t>kr</t>
        </is>
      </c>
      <c r="E46" s="23" t="inlineStr">
        <is>
          <t>Produksjonsinntekter i alt = Mjølk [C19] + Slakt [C20] + Livdyrsal [C21] + Buskap, beholdningsendring (+ = auke) [C22] + Andre inntekter [C23]</t>
        </is>
      </c>
      <c r="F46" s="24" t="inlineStr">
        <is>
          <t>=C19+C20+C21+C22+C23</t>
        </is>
      </c>
    </row>
    <row r="47">
      <c r="A47" s="20" t="inlineStr">
        <is>
          <t>Eigen grovfôr – sum variable kostnader</t>
        </is>
      </c>
      <c r="B47" s="21" t="inlineStr">
        <is>
          <t>Utrekna</t>
        </is>
      </c>
      <c r="C47" s="22">
        <f>C26+C27+C28+C29+C30+C31+C32+C33</f>
        <v/>
      </c>
      <c r="D47" s="12" t="inlineStr">
        <is>
          <t>kr</t>
        </is>
      </c>
      <c r="E47" s="23" t="inlineStr">
        <is>
          <t>Eigen grovfôr – sum variable kostnader = Såfrø / grasfrø [C26] + Plantevernmiddel [C27] + Rundballeplast mm. [C28] + Handelsgjødsel [C29] + Kalk [C30] + Konserveringsmiddel [C31] + Endring anna varelager (variable kostn.) [C32] + Endring eigenprodusert grovfôr (+ = nedgang i lager) [C33]</t>
        </is>
      </c>
      <c r="F47" s="24" t="inlineStr">
        <is>
          <t>=C26+C27+C28+C29+C30+C31+C32+C33</t>
        </is>
      </c>
    </row>
    <row r="48">
      <c r="A48" s="20" t="inlineStr">
        <is>
          <t>Variabel grovfôrkostnad (utan plast og lagerendring eigenprodusert)</t>
        </is>
      </c>
      <c r="B48" s="21" t="inlineStr">
        <is>
          <t>Utrekna</t>
        </is>
      </c>
      <c r="C48" s="22">
        <f>C26+C27+C29+C30+C31+C32</f>
        <v/>
      </c>
      <c r="D48" s="12" t="inlineStr">
        <is>
          <t>kr</t>
        </is>
      </c>
      <c r="E48" s="23" t="inlineStr">
        <is>
          <t>Variabel grovfôrkostnad (utan plast og lagerendring eigenprodusert) = Såfrø / grasfrø [C26] + Plantevernmiddel [C27] + Handelsgjødsel [C29] + Kalk [C30] + Konserveringsmiddel [C31] + Endring anna varelager (variable kostn.) [C32]   (Brukt i «Variabel grovfôrkostnad pr dekar» – same utval som eksempelanalysen)</t>
        </is>
      </c>
      <c r="F48" s="24" t="inlineStr">
        <is>
          <t>=C26+C27+C29+C30+C31+C32</t>
        </is>
      </c>
    </row>
    <row r="49">
      <c r="A49" s="20" t="inlineStr">
        <is>
          <t>Sum eigen grovfôrproduksjon (utan lagerendring)</t>
        </is>
      </c>
      <c r="B49" s="21" t="inlineStr">
        <is>
          <t>Utrekna</t>
        </is>
      </c>
      <c r="C49" s="22">
        <f>C47-C33</f>
        <v/>
      </c>
      <c r="D49" s="12" t="inlineStr">
        <is>
          <t>kr</t>
        </is>
      </c>
      <c r="E49" s="23" t="inlineStr">
        <is>
          <t>Sum eigen grovfôrproduksjon (utan lagerendring) = Eigen grovfôr – sum variable kostnader [C47] − Endring eigenprodusert grovfôr (+ = nedgang i lager) [C33]   (Brukt til å fordele grovfôrarealet mellom produksjonane)</t>
        </is>
      </c>
      <c r="F49" s="24" t="inlineStr">
        <is>
          <t>=C47-C33</t>
        </is>
      </c>
    </row>
    <row r="50">
      <c r="A50" s="20" t="inlineStr">
        <is>
          <t>Grovfôr – kostnad i alt</t>
        </is>
      </c>
      <c r="B50" s="21" t="inlineStr">
        <is>
          <t>Utrekna</t>
        </is>
      </c>
      <c r="C50" s="22">
        <f>C47+C35+C37</f>
        <v/>
      </c>
      <c r="D50" s="12" t="inlineStr">
        <is>
          <t>kr</t>
        </is>
      </c>
      <c r="E50" s="23" t="inlineStr">
        <is>
          <t>Grovfôr – kostnad i alt = Eigen grovfôr – sum variable kostnader [C47] + Kjøp grovfôr [C35] + Endring innkjøpt grovfôrlager [C37]</t>
        </is>
      </c>
      <c r="F50" s="24" t="inlineStr">
        <is>
          <t>=C47+C35+C37</t>
        </is>
      </c>
    </row>
    <row r="51">
      <c r="A51" s="20" t="inlineStr">
        <is>
          <t>Variable kostnader i alt</t>
        </is>
      </c>
      <c r="B51" s="21" t="inlineStr">
        <is>
          <t>Utrekna</t>
        </is>
      </c>
      <c r="C51" s="22">
        <f>C50+C36+C38+C39+C40+C41</f>
        <v/>
      </c>
      <c r="D51" s="12" t="inlineStr">
        <is>
          <t>kr</t>
        </is>
      </c>
      <c r="E51" s="23" t="inlineStr">
        <is>
          <t>Variable kostnader i alt = Grovfôr – kostnad i alt [C50] + Beiteleige / dyr på beite [C36] + Kraftfôr mm. [C38] + Veterinær, medisin, semin mm. [C39] + Innkjøp dyr [C40] + Andre variable kostnader [C41]</t>
        </is>
      </c>
      <c r="F51" s="24" t="inlineStr">
        <is>
          <t>=C50+C36+C38+C39+C40+C41</t>
        </is>
      </c>
    </row>
    <row r="52">
      <c r="A52" s="25" t="inlineStr">
        <is>
          <t>Dekningsbidrag (DB) utan tilskot</t>
        </is>
      </c>
      <c r="B52" s="26" t="inlineStr">
        <is>
          <t>Utrekna</t>
        </is>
      </c>
      <c r="C52" s="27">
        <f>C46-C51</f>
        <v/>
      </c>
      <c r="D52" s="28" t="inlineStr">
        <is>
          <t>kr</t>
        </is>
      </c>
      <c r="E52" s="29" t="inlineStr">
        <is>
          <t>Dekningsbidrag (DB) utan tilskot = Produksjonsinntekter i alt [C46] − Variable kostnader i alt [C51]</t>
        </is>
      </c>
      <c r="F52" s="30" t="inlineStr">
        <is>
          <t>=C46-C51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C53-C43-C44</f>
        <v/>
      </c>
      <c r="D54" s="12" t="inlineStr">
        <is>
          <t>kr</t>
        </is>
      </c>
      <c r="E54" s="23" t="inlineStr">
        <is>
          <t>DB m/tilskot etter maskin- og innandørskostnad = Dekningsbidrag (DB) med tilskot [C53] − Maskinkostnader fordelt [C43] − Innandørsmekanisering fordelt [C44]</t>
        </is>
      </c>
      <c r="F54" s="24" t="inlineStr">
        <is>
          <t>=C53-C43-C44</t>
        </is>
      </c>
    </row>
    <row r="55">
      <c r="A55" s="20" t="inlineStr">
        <is>
          <t>«Kueiningar»</t>
        </is>
      </c>
      <c r="B55" s="21" t="inlineStr">
        <is>
          <t>Utrekna</t>
        </is>
      </c>
      <c r="C55" s="38">
        <f>(C10+C11+C12+C13)/2/7</f>
        <v/>
      </c>
      <c r="D55" s="12" t="inlineStr">
        <is>
          <t>stk</t>
        </is>
      </c>
      <c r="E55" s="23" t="inlineStr">
        <is>
          <t>«Kueiningar» = (Geiter frå inngåande balanse pr 1.1. [C10] + Geiter tilført i året pr 1.1. [C11] + Geiter frå inngåande balanse pr 31.12. [C12] + Geiter tilført i året pr 31.12. [C13]) / 2 / 7   (Vekting av dyretal (snitt 1.1. og 31.12.) – sjå formel)</t>
        </is>
      </c>
      <c r="F55" s="24" t="inlineStr">
        <is>
          <t>=(C10+C11+C12+C13)/2/7</t>
        </is>
      </c>
    </row>
    <row r="56">
      <c r="A56" s="18" t="inlineStr">
        <is>
          <t>5. OUTPUT – Per eining (pr geit)</t>
        </is>
      </c>
      <c r="B56" s="19" t="n"/>
      <c r="C56" s="19" t="n"/>
      <c r="D56" s="19" t="n"/>
      <c r="E56" s="19" t="n"/>
      <c r="F56" s="19" t="n"/>
    </row>
    <row r="57">
      <c r="A57" s="18" t="inlineStr">
        <is>
          <t>Produksjonsinntekter pr geit</t>
        </is>
      </c>
      <c r="B57" s="19" t="n"/>
      <c r="C57" s="19" t="n"/>
      <c r="D57" s="19" t="n"/>
      <c r="E57" s="19" t="n"/>
      <c r="F57" s="19" t="n"/>
    </row>
    <row r="58">
      <c r="A58" s="20" t="inlineStr">
        <is>
          <t>Mjølk</t>
        </is>
      </c>
      <c r="B58" s="21" t="inlineStr">
        <is>
          <t>Utrekna</t>
        </is>
      </c>
      <c r="C58" s="38">
        <f>IF((C7)=0,0,(C19)/(C7))</f>
        <v/>
      </c>
      <c r="D58" s="12" t="inlineStr">
        <is>
          <t>kr</t>
        </is>
      </c>
      <c r="E58" s="23" t="inlineStr">
        <is>
          <t>Mjølk = Mjølk [C19] ÷ Tal årsgeiter [C7]</t>
        </is>
      </c>
      <c r="F58" s="24" t="inlineStr">
        <is>
          <t>=IF((C7)=0,0,(C19)/(C7))</t>
        </is>
      </c>
    </row>
    <row r="59">
      <c r="A59" s="20" t="inlineStr">
        <is>
          <t>Slakt</t>
        </is>
      </c>
      <c r="B59" s="21" t="inlineStr">
        <is>
          <t>Utrekna</t>
        </is>
      </c>
      <c r="C59" s="38">
        <f>IF((C7)=0,0,(C20)/(C7))</f>
        <v/>
      </c>
      <c r="D59" s="12" t="inlineStr">
        <is>
          <t>kr</t>
        </is>
      </c>
      <c r="E59" s="23" t="inlineStr">
        <is>
          <t>Slakt = Slakt [C20] ÷ Tal årsgeiter [C7]</t>
        </is>
      </c>
      <c r="F59" s="24" t="inlineStr">
        <is>
          <t>=IF((C7)=0,0,(C20)/(C7))</t>
        </is>
      </c>
    </row>
    <row r="60">
      <c r="A60" s="20" t="inlineStr">
        <is>
          <t>Livdyrsal</t>
        </is>
      </c>
      <c r="B60" s="21" t="inlineStr">
        <is>
          <t>Utrekna</t>
        </is>
      </c>
      <c r="C60" s="38">
        <f>IF((C7)=0,0,(C21)/(C7))</f>
        <v/>
      </c>
      <c r="D60" s="12" t="inlineStr">
        <is>
          <t>kr</t>
        </is>
      </c>
      <c r="E60" s="23" t="inlineStr">
        <is>
          <t>Livdyrsal = Livdyrsal [C21] ÷ Tal årsgeiter [C7]</t>
        </is>
      </c>
      <c r="F60" s="24" t="inlineStr">
        <is>
          <t>=IF((C7)=0,0,(C21)/(C7))</t>
        </is>
      </c>
    </row>
    <row r="61">
      <c r="A61" s="20" t="inlineStr">
        <is>
          <t>Buskap, beholdningsendring (+ = auke)</t>
        </is>
      </c>
      <c r="B61" s="21" t="inlineStr">
        <is>
          <t>Utrekna</t>
        </is>
      </c>
      <c r="C61" s="38">
        <f>IF((C7)=0,0,(C22)/(C7))</f>
        <v/>
      </c>
      <c r="D61" s="12" t="inlineStr">
        <is>
          <t>kr</t>
        </is>
      </c>
      <c r="E61" s="23" t="inlineStr">
        <is>
          <t>Buskap, beholdningsendring (+ = auke) = Buskap, beholdningsendring (+ = auke) [C22] ÷ Tal årsgeiter [C7]</t>
        </is>
      </c>
      <c r="F61" s="24" t="inlineStr">
        <is>
          <t>=IF((C7)=0,0,(C22)/(C7))</t>
        </is>
      </c>
    </row>
    <row r="62">
      <c r="A62" s="20" t="inlineStr">
        <is>
          <t>Andre inntekter</t>
        </is>
      </c>
      <c r="B62" s="21" t="inlineStr">
        <is>
          <t>Utrekna</t>
        </is>
      </c>
      <c r="C62" s="38">
        <f>IF((C7)=0,0,(C23)/(C7))</f>
        <v/>
      </c>
      <c r="D62" s="12" t="inlineStr">
        <is>
          <t>kr</t>
        </is>
      </c>
      <c r="E62" s="23" t="inlineStr">
        <is>
          <t>Andre inntekter = Andre inntekter [C23] ÷ Tal årsgeiter [C7]</t>
        </is>
      </c>
      <c r="F62" s="24" t="inlineStr">
        <is>
          <t>=IF((C7)=0,0,(C23)/(C7))</t>
        </is>
      </c>
    </row>
    <row r="63">
      <c r="A63" s="20" t="inlineStr">
        <is>
          <t>Produksjonsinntekter i alt</t>
        </is>
      </c>
      <c r="B63" s="21" t="inlineStr">
        <is>
          <t>Utrekna</t>
        </is>
      </c>
      <c r="C63" s="38">
        <f>IF((C7)=0,0,(C46)/(C7))</f>
        <v/>
      </c>
      <c r="D63" s="12" t="inlineStr">
        <is>
          <t>kr</t>
        </is>
      </c>
      <c r="E63" s="23" t="inlineStr">
        <is>
          <t>Produksjonsinntekter i alt = Produksjonsinntekter i alt [C46] ÷ Tal årsgeiter [C7]</t>
        </is>
      </c>
      <c r="F63" s="24" t="inlineStr">
        <is>
          <t>=IF((C7)=0,0,(C46)/(C7))</t>
        </is>
      </c>
    </row>
    <row r="64">
      <c r="A64" s="18" t="inlineStr">
        <is>
          <t>Variable kostnader pr geit</t>
        </is>
      </c>
      <c r="B64" s="19" t="n"/>
      <c r="C64" s="19" t="n"/>
      <c r="D64" s="19" t="n"/>
      <c r="E64" s="19" t="n"/>
      <c r="F64" s="19" t="n"/>
    </row>
    <row r="65">
      <c r="A65" s="20" t="inlineStr">
        <is>
          <t>Eigen grovfôrproduksjon</t>
        </is>
      </c>
      <c r="B65" s="21" t="inlineStr">
        <is>
          <t>Utrekna</t>
        </is>
      </c>
      <c r="C65" s="38">
        <f>IF((C7)=0,0,(C49)/(C7))</f>
        <v/>
      </c>
      <c r="D65" s="12" t="inlineStr">
        <is>
          <t>kr</t>
        </is>
      </c>
      <c r="E65" s="23" t="inlineStr">
        <is>
          <t>Eigen grovfôrproduksjon = Sum eigen grovfôrproduksjon (utan lagerendring) [C49] ÷ Tal årsgeiter [C7]</t>
        </is>
      </c>
      <c r="F65" s="24" t="inlineStr">
        <is>
          <t>=IF((C7)=0,0,(C49)/(C7))</t>
        </is>
      </c>
    </row>
    <row r="66">
      <c r="A66" s="20" t="inlineStr">
        <is>
          <t>Kjøpt grovfôr</t>
        </is>
      </c>
      <c r="B66" s="21" t="inlineStr">
        <is>
          <t>Utrekna</t>
        </is>
      </c>
      <c r="C66" s="38">
        <f>IF((C7)=0,0,(C35)/(C7))</f>
        <v/>
      </c>
      <c r="D66" s="12" t="inlineStr">
        <is>
          <t>kr</t>
        </is>
      </c>
      <c r="E66" s="23" t="inlineStr">
        <is>
          <t>Kjøpt grovfôr = Kjøp grovfôr [C35] ÷ Tal årsgeiter [C7]</t>
        </is>
      </c>
      <c r="F66" s="24" t="inlineStr">
        <is>
          <t>=IF((C7)=0,0,(C35)/(C7))</t>
        </is>
      </c>
    </row>
    <row r="67">
      <c r="A67" s="20" t="inlineStr">
        <is>
          <t>Varelager endring grovfôr</t>
        </is>
      </c>
      <c r="B67" s="21" t="inlineStr">
        <is>
          <t>Utrekna</t>
        </is>
      </c>
      <c r="C67" s="38">
        <f>IF((C7)=0,0,(C33+C37)/(C7))</f>
        <v/>
      </c>
      <c r="D67" s="12" t="inlineStr">
        <is>
          <t>kr</t>
        </is>
      </c>
      <c r="E67" s="23" t="inlineStr">
        <is>
          <t>Varelager endring grovfôr = (Endring eigenprodusert grovfôr (+ = nedgang i lager) [C33] + Endring innkjøpt grovfôrlager [C37]) ÷ Tal årsgeiter [C7]</t>
        </is>
      </c>
      <c r="F67" s="24" t="inlineStr">
        <is>
          <t>=IF((C7)=0,0,(C33+C37)/(C7))</t>
        </is>
      </c>
    </row>
    <row r="68">
      <c r="A68" s="20" t="inlineStr">
        <is>
          <t>Beiteleige</t>
        </is>
      </c>
      <c r="B68" s="21" t="inlineStr">
        <is>
          <t>Utrekna</t>
        </is>
      </c>
      <c r="C68" s="38">
        <f>IF((C7)=0,0,(C36)/(C7))</f>
        <v/>
      </c>
      <c r="D68" s="12" t="inlineStr">
        <is>
          <t>kr</t>
        </is>
      </c>
      <c r="E68" s="23" t="inlineStr">
        <is>
          <t>Beiteleige = Beiteleige / dyr på beite [C36] ÷ Tal årsgeiter [C7]</t>
        </is>
      </c>
      <c r="F68" s="24" t="inlineStr">
        <is>
          <t>=IF((C7)=0,0,(C36)/(C7))</t>
        </is>
      </c>
    </row>
    <row r="69">
      <c r="A69" s="20" t="inlineStr">
        <is>
          <t>Kraftfôr mm.</t>
        </is>
      </c>
      <c r="B69" s="21" t="inlineStr">
        <is>
          <t>Utrekna</t>
        </is>
      </c>
      <c r="C69" s="38">
        <f>IF((C7)=0,0,(C38)/(C7))</f>
        <v/>
      </c>
      <c r="D69" s="12" t="inlineStr">
        <is>
          <t>kr</t>
        </is>
      </c>
      <c r="E69" s="23" t="inlineStr">
        <is>
          <t>Kraftfôr mm. = Kraftfôr mm. [C38] ÷ Tal årsgeiter [C7]</t>
        </is>
      </c>
      <c r="F69" s="24" t="inlineStr">
        <is>
          <t>=IF((C7)=0,0,(C38)/(C7))</t>
        </is>
      </c>
    </row>
    <row r="70">
      <c r="A70" s="20" t="inlineStr">
        <is>
          <t>Veterinær, medisin, semin mm.</t>
        </is>
      </c>
      <c r="B70" s="21" t="inlineStr">
        <is>
          <t>Utrekna</t>
        </is>
      </c>
      <c r="C70" s="38">
        <f>IF((C7)=0,0,(C39)/(C7))</f>
        <v/>
      </c>
      <c r="D70" s="12" t="inlineStr">
        <is>
          <t>kr</t>
        </is>
      </c>
      <c r="E70" s="23" t="inlineStr">
        <is>
          <t>Veterinær, medisin, semin mm. = Veterinær, medisin, semin mm. [C39] ÷ Tal årsgeiter [C7]</t>
        </is>
      </c>
      <c r="F70" s="24" t="inlineStr">
        <is>
          <t>=IF((C7)=0,0,(C39)/(C7))</t>
        </is>
      </c>
    </row>
    <row r="71">
      <c r="A71" s="20" t="inlineStr">
        <is>
          <t>Innkjøp dyr</t>
        </is>
      </c>
      <c r="B71" s="21" t="inlineStr">
        <is>
          <t>Utrekna</t>
        </is>
      </c>
      <c r="C71" s="38">
        <f>IF((C7)=0,0,(C40)/(C7))</f>
        <v/>
      </c>
      <c r="D71" s="12" t="inlineStr">
        <is>
          <t>kr</t>
        </is>
      </c>
      <c r="E71" s="23" t="inlineStr">
        <is>
          <t>Innkjøp dyr = Innkjøp dyr [C40] ÷ Tal årsgeiter [C7]</t>
        </is>
      </c>
      <c r="F71" s="24" t="inlineStr">
        <is>
          <t>=IF((C7)=0,0,(C40)/(C7))</t>
        </is>
      </c>
    </row>
    <row r="72">
      <c r="A72" s="20" t="inlineStr">
        <is>
          <t>Andre variable kostnader</t>
        </is>
      </c>
      <c r="B72" s="21" t="inlineStr">
        <is>
          <t>Utrekna</t>
        </is>
      </c>
      <c r="C72" s="38">
        <f>IF((C7)=0,0,(C41)/(C7))</f>
        <v/>
      </c>
      <c r="D72" s="12" t="inlineStr">
        <is>
          <t>kr</t>
        </is>
      </c>
      <c r="E72" s="23" t="inlineStr">
        <is>
          <t>Andre variable kostnader = Andre variable kostnader [C41] ÷ Tal årsgeiter [C7]</t>
        </is>
      </c>
      <c r="F72" s="24" t="inlineStr">
        <is>
          <t>=IF((C7)=0,0,(C41)/(C7))</t>
        </is>
      </c>
    </row>
    <row r="73">
      <c r="A73" s="20" t="inlineStr">
        <is>
          <t>Sum variable kostnader</t>
        </is>
      </c>
      <c r="B73" s="21" t="inlineStr">
        <is>
          <t>Utrekna</t>
        </is>
      </c>
      <c r="C73" s="38">
        <f>IF((C7)=0,0,(C51)/(C7))</f>
        <v/>
      </c>
      <c r="D73" s="12" t="inlineStr">
        <is>
          <t>kr</t>
        </is>
      </c>
      <c r="E73" s="23" t="inlineStr">
        <is>
          <t>Sum variable kostnader = Variable kostnader i alt [C51] ÷ Tal årsgeiter [C7]</t>
        </is>
      </c>
      <c r="F73" s="24" t="inlineStr">
        <is>
          <t>=IF((C7)=0,0,(C51)/(C7))</t>
        </is>
      </c>
    </row>
    <row r="74">
      <c r="A74" s="18" t="inlineStr">
        <is>
          <t>Resultat pr geit</t>
        </is>
      </c>
      <c r="B74" s="19" t="n"/>
      <c r="C74" s="19" t="n"/>
      <c r="D74" s="19" t="n"/>
      <c r="E74" s="19" t="n"/>
      <c r="F74" s="19" t="n"/>
    </row>
    <row r="75">
      <c r="A75" s="20" t="inlineStr">
        <is>
          <t>DB utan tilskot</t>
        </is>
      </c>
      <c r="B75" s="21" t="inlineStr">
        <is>
          <t>Utrekna</t>
        </is>
      </c>
      <c r="C75" s="38">
        <f>IF((C7)=0,0,(C52)/(C7))</f>
        <v/>
      </c>
      <c r="D75" s="12" t="inlineStr">
        <is>
          <t>kr</t>
        </is>
      </c>
      <c r="E75" s="23" t="inlineStr">
        <is>
          <t>DB utan tilskot = Dekningsbidrag (DB) utan tilskot [C52] ÷ Tal årsgeiter [C7]</t>
        </is>
      </c>
      <c r="F75" s="24" t="inlineStr">
        <is>
          <t>=IF((C7)=0,0,(C52)/(C7))</t>
        </is>
      </c>
    </row>
    <row r="76">
      <c r="A76" s="20" t="inlineStr">
        <is>
          <t>Tilskot</t>
        </is>
      </c>
      <c r="B76" s="21" t="inlineStr">
        <is>
          <t>Utrekna</t>
        </is>
      </c>
      <c r="C76" s="38">
        <f>IF((C7)=0,0,(C18)/(C7))</f>
        <v/>
      </c>
      <c r="D76" s="12" t="inlineStr">
        <is>
          <t>kr</t>
        </is>
      </c>
      <c r="E76" s="23" t="inlineStr">
        <is>
          <t>Tilskot = Produksjonstilskot fordelt på produksjonen [C18] ÷ Tal årsgeiter [C7]</t>
        </is>
      </c>
      <c r="F76" s="24" t="inlineStr">
        <is>
          <t>=IF((C7)=0,0,(C18)/(C7))</t>
        </is>
      </c>
    </row>
    <row r="77">
      <c r="A77" s="20" t="inlineStr">
        <is>
          <t>DB med tilskot</t>
        </is>
      </c>
      <c r="B77" s="21" t="inlineStr">
        <is>
          <t>Utrekna</t>
        </is>
      </c>
      <c r="C77" s="38">
        <f>IF((C7)=0,0,(C53)/(C7))</f>
        <v/>
      </c>
      <c r="D77" s="12" t="inlineStr">
        <is>
          <t>kr</t>
        </is>
      </c>
      <c r="E77" s="23" t="inlineStr">
        <is>
          <t>DB med tilskot = Dekningsbidrag (DB) med tilskot [C53] ÷ Tal årsgeiter [C7]</t>
        </is>
      </c>
      <c r="F77" s="24" t="inlineStr">
        <is>
          <t>=IF((C7)=0,0,(C53)/(C7))</t>
        </is>
      </c>
    </row>
    <row r="78">
      <c r="A78" s="20" t="inlineStr">
        <is>
          <t>Maskinkostnader</t>
        </is>
      </c>
      <c r="B78" s="21" t="inlineStr">
        <is>
          <t>Utrekna</t>
        </is>
      </c>
      <c r="C78" s="38">
        <f>IF((C7)=0,0,(C43)/(C7))</f>
        <v/>
      </c>
      <c r="D78" s="12" t="inlineStr">
        <is>
          <t>kr</t>
        </is>
      </c>
      <c r="E78" s="23" t="inlineStr">
        <is>
          <t>Maskinkostnader = Maskinkostnader fordelt [C43] ÷ Tal årsgeiter [C7]</t>
        </is>
      </c>
      <c r="F78" s="24" t="inlineStr">
        <is>
          <t>=IF((C7)=0,0,(C43)/(C7))</t>
        </is>
      </c>
    </row>
    <row r="79">
      <c r="A79" s="20" t="inlineStr">
        <is>
          <t>Innandørsmekanisering</t>
        </is>
      </c>
      <c r="B79" s="21" t="inlineStr">
        <is>
          <t>Utrekna</t>
        </is>
      </c>
      <c r="C79" s="38">
        <f>IF((C7)=0,0,(C44)/(C7))</f>
        <v/>
      </c>
      <c r="D79" s="12" t="inlineStr">
        <is>
          <t>kr</t>
        </is>
      </c>
      <c r="E79" s="23" t="inlineStr">
        <is>
          <t>Innandørsmekanisering = Innandørsmekanisering fordelt [C44] ÷ Tal årsgeiter [C7]</t>
        </is>
      </c>
      <c r="F79" s="24" t="inlineStr">
        <is>
          <t>=IF((C7)=0,0,(C44)/(C7))</t>
        </is>
      </c>
    </row>
    <row r="80">
      <c r="A80" s="20" t="inlineStr">
        <is>
          <t>DB m/tilskot etter maskin og innandørsmek.</t>
        </is>
      </c>
      <c r="B80" s="21" t="inlineStr">
        <is>
          <t>Utrekna</t>
        </is>
      </c>
      <c r="C80" s="38">
        <f>IF((C7)=0,0,(C54)/(C7))</f>
        <v/>
      </c>
      <c r="D80" s="12" t="inlineStr">
        <is>
          <t>kr</t>
        </is>
      </c>
      <c r="E80" s="23" t="inlineStr">
        <is>
          <t>DB m/tilskot etter maskin og innandørsmek. = DB m/tilskot etter maskin- og innandørskostnad [C54] ÷ Tal årsgeiter [C7]</t>
        </is>
      </c>
      <c r="F80" s="24" t="inlineStr">
        <is>
          <t>=IF((C7)=0,0,(C54)/(C7))</t>
        </is>
      </c>
    </row>
    <row r="81">
      <c r="A81" s="18" t="inlineStr">
        <is>
          <t>6. OUTPUT – Nøkkeltal</t>
        </is>
      </c>
      <c r="B81" s="19" t="n"/>
      <c r="C81" s="19" t="n"/>
      <c r="D81" s="19" t="n"/>
      <c r="E81" s="19" t="n"/>
      <c r="F81" s="19" t="n"/>
    </row>
    <row r="82">
      <c r="A82" s="25" t="inlineStr">
        <is>
          <t>DB pr liter u/tilskot</t>
        </is>
      </c>
      <c r="B82" s="26" t="inlineStr">
        <is>
          <t>Utrekna</t>
        </is>
      </c>
      <c r="C82" s="39">
        <f>IF((C8)=0,0,(C52)/(C8))</f>
        <v/>
      </c>
      <c r="D82" s="28" t="inlineStr">
        <is>
          <t>kr</t>
        </is>
      </c>
      <c r="E82" s="29" t="inlineStr">
        <is>
          <t>DB pr liter u/tilskot = Dekningsbidrag (DB) utan tilskot [C52] ÷ Levert mjølk [C8]</t>
        </is>
      </c>
      <c r="F82" s="30" t="inlineStr">
        <is>
          <t>=IF((C8)=0,0,(C52)/(C8))</t>
        </is>
      </c>
    </row>
    <row r="83">
      <c r="A83" s="25" t="inlineStr">
        <is>
          <t>DB pr geit u/tilskot</t>
        </is>
      </c>
      <c r="B83" s="26" t="inlineStr">
        <is>
          <t>Utrekna</t>
        </is>
      </c>
      <c r="C83" s="39">
        <f>IF((C7)=0,0,(C52)/(C7))</f>
        <v/>
      </c>
      <c r="D83" s="28" t="inlineStr">
        <is>
          <t>kr</t>
        </is>
      </c>
      <c r="E83" s="29" t="inlineStr">
        <is>
          <t>DB pr geit u/tilskot = Dekningsbidrag (DB) utan tilskot [C52] ÷ Tal årsgeiter [C7]</t>
        </is>
      </c>
      <c r="F83" s="30" t="inlineStr">
        <is>
          <t>=IF((C7)=0,0,(C52)/(C7))</t>
        </is>
      </c>
    </row>
    <row r="84">
      <c r="A84" s="25" t="inlineStr">
        <is>
          <t>DB pr geit m/tilskot</t>
        </is>
      </c>
      <c r="B84" s="26" t="inlineStr">
        <is>
          <t>Utrekna</t>
        </is>
      </c>
      <c r="C84" s="39">
        <f>IF((C7)=0,0,(C53)/(C7))</f>
        <v/>
      </c>
      <c r="D84" s="28" t="inlineStr">
        <is>
          <t>kr</t>
        </is>
      </c>
      <c r="E84" s="29" t="inlineStr">
        <is>
          <t>DB pr geit m/tilskot = Dekningsbidrag (DB) med tilskot [C53] ÷ Tal årsgeiter [C7]</t>
        </is>
      </c>
      <c r="F84" s="30" t="inlineStr">
        <is>
          <t>=IF((C7)=0,0,(C53)/(C7))</t>
        </is>
      </c>
    </row>
    <row r="85">
      <c r="A85" s="25" t="inlineStr">
        <is>
          <t>DB pr dekar grovfôr u/tilskot</t>
        </is>
      </c>
      <c r="B85" s="26" t="inlineStr">
        <is>
          <t>Utrekna</t>
        </is>
      </c>
      <c r="C85" s="39">
        <f>IF(('Grovfôr'!C21*IF(('Grovfôr'!C38)=0,0,(C49)/('Grovfôr'!C38)))=0,0,(C52)/('Grovfôr'!C21*IF(('Grovfôr'!C38)=0,0,(C49)/('Grovfôr'!C38))))</f>
        <v/>
      </c>
      <c r="D85" s="28" t="inlineStr">
        <is>
          <t>kr</t>
        </is>
      </c>
      <c r="E85" s="29" t="inlineStr">
        <is>
          <t>DB pr dekar grovfôr u/tilskot = Dekningsbidrag (DB) utan tilskot [C52] ÷ (Korrigert grovfôrareal (overflate/1,25 + fulldyrka + kulturbeite/2,5) [Grovfôr!C21] × Sum eigen grovfôrproduksjon (utan lagerendring) [C49] ÷ Sum eigen grovfôrkostnad (fordelingsnøkkel areal) [Grovfôr!C38])   (Grovfôrarealet blir fordelt etter produksjonen sin del av eigen grovfôrkostnad)</t>
        </is>
      </c>
      <c r="F85" s="30" t="inlineStr">
        <is>
          <t>=IF(('Grovfôr'!C21*IF(('Grovfôr'!C38)=0,0,(C49)/('Grovfôr'!C38)))=0,0,(C52)/('Grovfôr'!C21*IF(('Grovfôr'!C38)=0,0,(C49)/('Grovfôr'!C38))))</t>
        </is>
      </c>
    </row>
    <row r="86">
      <c r="A86" s="25" t="inlineStr">
        <is>
          <t>DB pr dekar grovfôr m/tilskot</t>
        </is>
      </c>
      <c r="B86" s="26" t="inlineStr">
        <is>
          <t>Utrekna</t>
        </is>
      </c>
      <c r="C86" s="39">
        <f>IF(('Grovfôr'!C21*IF(('Grovfôr'!C38)=0,0,(C49)/('Grovfôr'!C38)))=0,0,(C53)/('Grovfôr'!C21*IF(('Grovfôr'!C38)=0,0,(C49)/('Grovfôr'!C38))))</f>
        <v/>
      </c>
      <c r="D86" s="28" t="inlineStr">
        <is>
          <t>kr</t>
        </is>
      </c>
      <c r="E86" s="29" t="inlineStr">
        <is>
          <t>DB pr dekar grovfôr m/tilskot = Dekningsbidrag (DB) med tilskot [C53] ÷ (Korrigert grovfôrareal (overflate/1,25 + fulldyrka + kulturbeite/2,5) [Grovfôr!C21] × Sum eigen grovfôrproduksjon (utan lagerendring) [C49] ÷ Sum eigen grovfôrkostnad (fordelingsnøkkel areal) [Grovfôr!C38])</t>
        </is>
      </c>
      <c r="F86" s="30" t="inlineStr">
        <is>
          <t>=IF(('Grovfôr'!C21*IF(('Grovfôr'!C38)=0,0,(C49)/('Grovfôr'!C38)))=0,0,(C53)/('Grovfôr'!C21*IF(('Grovfôr'!C38)=0,0,(C49)/('Grovfôr'!C38))))</t>
        </is>
      </c>
    </row>
    <row r="87">
      <c r="A87" s="25" t="inlineStr">
        <is>
          <t>Variabel grovfôrkostnad pr dekar</t>
        </is>
      </c>
      <c r="B87" s="26" t="inlineStr">
        <is>
          <t>Lenkje frå anna ark</t>
        </is>
      </c>
      <c r="C87" s="40">
        <f>'Grovfôr'!C52</f>
        <v/>
      </c>
      <c r="D87" s="28" t="inlineStr">
        <is>
          <t>kr</t>
        </is>
      </c>
      <c r="E87" s="29" t="inlineStr">
        <is>
          <t>Variabel grovfôrkostnad pr dekar = Variabel grovfôrkostnad pr korrigert dekar [Grovfôr!C52]</t>
        </is>
      </c>
      <c r="F87" s="30" t="inlineStr">
        <is>
          <t>='Grovfôr'!C52</t>
        </is>
      </c>
    </row>
    <row r="88">
      <c r="A88" s="25" t="inlineStr">
        <is>
          <t>Maskinkostnader pr dekar grovfôr</t>
        </is>
      </c>
      <c r="B88" s="26" t="inlineStr">
        <is>
          <t>Lenkje frå anna ark</t>
        </is>
      </c>
      <c r="C88" s="40">
        <f>'Grovfôr'!C53</f>
        <v/>
      </c>
      <c r="D88" s="28" t="inlineStr">
        <is>
          <t>kr</t>
        </is>
      </c>
      <c r="E88" s="29" t="inlineStr">
        <is>
          <t>Maskinkostnader pr dekar grovfôr = Maskinkostnader pr dekar grovfôr [Grovfôr!C53]</t>
        </is>
      </c>
      <c r="F88" s="30" t="inlineStr">
        <is>
          <t>='Grovfôr'!C53</t>
        </is>
      </c>
    </row>
    <row r="89">
      <c r="A89" s="25" t="inlineStr">
        <is>
          <t>Korrigerte dekar pr «kueining»</t>
        </is>
      </c>
      <c r="B89" s="26" t="inlineStr">
        <is>
          <t>Lenkje frå anna ark</t>
        </is>
      </c>
      <c r="C89" s="40">
        <f>'Grovfôr'!C54</f>
        <v/>
      </c>
      <c r="D89" s="28" t="inlineStr">
        <is>
          <t>da</t>
        </is>
      </c>
      <c r="E89" s="29" t="inlineStr">
        <is>
          <t>Korrigerte dekar pr «kueining» = Korrigerte dekar pr «kueining» [Grovfôr!C54]</t>
        </is>
      </c>
      <c r="F89" s="30" t="inlineStr">
        <is>
          <t>='Grovfôr'!C54</t>
        </is>
      </c>
    </row>
    <row r="90">
      <c r="A90" s="25" t="inlineStr">
        <is>
          <t>Oppnådd mjølkepris pr liter (u/distriktstilskot)</t>
        </is>
      </c>
      <c r="B90" s="26" t="inlineStr">
        <is>
          <t>Utrekna</t>
        </is>
      </c>
      <c r="C90" s="39">
        <f>IF((C8)=0,0,(C19-C24)/(C8))</f>
        <v/>
      </c>
      <c r="D90" s="28" t="inlineStr">
        <is>
          <t>kr</t>
        </is>
      </c>
      <c r="E90" s="29" t="inlineStr">
        <is>
          <t>Oppnådd mjølkepris pr liter (u/distriktstilskot) = (Mjølk [C19] − Herav distriktstilskot mjølk [C24]) ÷ Levert mjølk [C8]</t>
        </is>
      </c>
      <c r="F90" s="30" t="inlineStr">
        <is>
          <t>=IF((C8)=0,0,(C19-C24)/(C8))</t>
        </is>
      </c>
    </row>
    <row r="91">
      <c r="A91" s="25" t="inlineStr">
        <is>
          <t>Maskinkostnader pr liter</t>
        </is>
      </c>
      <c r="B91" s="26" t="inlineStr">
        <is>
          <t>Utrekna</t>
        </is>
      </c>
      <c r="C91" s="39">
        <f>IF((C8)=0,0,(C43)/(C8))</f>
        <v/>
      </c>
      <c r="D91" s="28" t="inlineStr">
        <is>
          <t>kr</t>
        </is>
      </c>
      <c r="E91" s="29" t="inlineStr">
        <is>
          <t>Maskinkostnader pr liter = Maskinkostnader fordelt [C43] ÷ Levert mjølk [C8]</t>
        </is>
      </c>
      <c r="F91" s="30" t="inlineStr">
        <is>
          <t>=IF((C8)=0,0,(C43)/(C8))</t>
        </is>
      </c>
    </row>
    <row r="92">
      <c r="A92" s="25" t="inlineStr">
        <is>
          <t>Innandørsmekanisering pr liter</t>
        </is>
      </c>
      <c r="B92" s="26" t="inlineStr">
        <is>
          <t>Utrekna</t>
        </is>
      </c>
      <c r="C92" s="39">
        <f>IF((C8)=0,0,(C44)/(C8))</f>
        <v/>
      </c>
      <c r="D92" s="28" t="inlineStr">
        <is>
          <t>kr</t>
        </is>
      </c>
      <c r="E92" s="29" t="inlineStr">
        <is>
          <t>Innandørsmekanisering pr liter = Innandørsmekanisering fordelt [C44] ÷ Levert mjølk [C8]</t>
        </is>
      </c>
      <c r="F92" s="30" t="inlineStr">
        <is>
          <t>=IF((C8)=0,0,(C44)/(C8))</t>
        </is>
      </c>
    </row>
    <row r="93">
      <c r="A93" s="25" t="inlineStr">
        <is>
          <t>Innandørsmekanisering pr geit</t>
        </is>
      </c>
      <c r="B93" s="26" t="inlineStr">
        <is>
          <t>Utrekna</t>
        </is>
      </c>
      <c r="C93" s="39">
        <f>IF((C7)=0,0,(C44)/(C7))</f>
        <v/>
      </c>
      <c r="D93" s="28" t="inlineStr">
        <is>
          <t>kr</t>
        </is>
      </c>
      <c r="E93" s="29" t="inlineStr">
        <is>
          <t>Innandørsmekanisering pr geit = Innandørsmekanisering fordelt [C44] ÷ Tal årsgeiter [C7]</t>
        </is>
      </c>
      <c r="F93" s="30" t="inlineStr">
        <is>
          <t>=IF((C7)=0,0,(C44)/(C7))</t>
        </is>
      </c>
    </row>
    <row r="94">
      <c r="A94" s="25" t="inlineStr">
        <is>
          <t>Levert mjølk pr geit (liter)</t>
        </is>
      </c>
      <c r="B94" s="26" t="inlineStr">
        <is>
          <t>Utrekna</t>
        </is>
      </c>
      <c r="C94" s="27">
        <f>IF((C7)=0,0,(C8)/(C7))</f>
        <v/>
      </c>
      <c r="D94" s="28" t="inlineStr">
        <is>
          <t>liter</t>
        </is>
      </c>
      <c r="E94" s="29" t="inlineStr">
        <is>
          <t>Levert mjølk pr geit (liter) = Levert mjølk [C8] ÷ Tal årsgeiter [C7]</t>
        </is>
      </c>
      <c r="F94" s="30" t="inlineStr">
        <is>
          <t>=IF((C7)=0,0,(C8)/(C7))</t>
        </is>
      </c>
    </row>
    <row r="95">
      <c r="A95" s="25" t="inlineStr">
        <is>
          <t>Kvoteoppfylling</t>
        </is>
      </c>
      <c r="B95" s="26" t="inlineStr">
        <is>
          <t>Utrekna</t>
        </is>
      </c>
      <c r="C95" s="33">
        <f>IF((C9)=0,0,(C8)/(C9))</f>
        <v/>
      </c>
      <c r="D95" s="28" t="inlineStr">
        <is>
          <t>%</t>
        </is>
      </c>
      <c r="E95" s="29" t="inlineStr">
        <is>
          <t>Kvoteoppfylling = Levert mjølk [C8] ÷ Disponibel mjølkekvote [C9]</t>
        </is>
      </c>
      <c r="F95"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kostnader'!C74</f>
        <v/>
      </c>
      <c r="D22" s="12" t="inlineStr">
        <is>
          <t>kr</t>
        </is>
      </c>
      <c r="E22" s="23" t="inlineStr">
        <is>
          <t>Innandørsmekanisering fordelt = Innandørsmekanisering – Egg [Faste kostnader!C74]</t>
        </is>
      </c>
      <c r="F22" s="24" t="inlineStr">
        <is>
          <t>='Faste kostnader'!C74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kostnader'!C75</f>
        <v/>
      </c>
      <c r="D27" s="12" t="inlineStr">
        <is>
          <t>kr</t>
        </is>
      </c>
      <c r="E27" s="23" t="inlineStr">
        <is>
          <t>Innandørsmekanisering fordelt = Innandørsmekanisering – Slaktekylling [Faste kostnader!C75]</t>
        </is>
      </c>
      <c r="F27" s="24" t="inlineStr">
        <is>
          <t>='Faste kostnader'!C75</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6"/>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hausta grovfôr (nøkkel: vinterfôr)</t>
        </is>
      </c>
    </row>
    <row r="273">
      <c r="A273" s="6" t="inlineStr">
        <is>
          <t>Produktkode</t>
        </is>
      </c>
      <c r="B273" s="45" t="inlineStr">
        <is>
          <t>xxxx.20.472</t>
        </is>
      </c>
      <c r="C273" s="6" t="inlineStr">
        <is>
          <t>Silofor / Fellespott hausta grovfôr (nøkkel: vinterfôr)</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26" customHeight="1">
      <c r="A295" s="6" t="inlineStr">
        <is>
          <t>Konto</t>
        </is>
      </c>
      <c r="B295" s="46" t="inlineStr">
        <is>
          <t>3413, 3430, 3460, 4001, 4050, 4057, 4095, 4110, 4191, 4560-4569</t>
        </is>
      </c>
      <c r="C295" s="6" t="inlineStr">
        <is>
          <t>Fellespott areal (nøkkel: areal / arealbehov)</t>
        </is>
      </c>
    </row>
    <row r="296" ht="26" customHeight="1">
      <c r="A296" s="6" t="inlineStr">
        <is>
          <t>Konto</t>
        </is>
      </c>
      <c r="B296" s="46" t="inlineStr">
        <is>
          <t>4030-4031, 4080, 4090, 4093, 4098, 4140, 4194, 4297</t>
        </is>
      </c>
      <c r="C296" s="6" t="inlineStr">
        <is>
          <t>Fellespott hausta grovfôr (nøkkel: vinterfôr)</t>
        </is>
      </c>
    </row>
    <row r="297" ht="26" customHeight="1">
      <c r="A297" s="6" t="inlineStr">
        <is>
          <t>Konto</t>
        </is>
      </c>
      <c r="B297" s="46" t="inlineStr">
        <is>
          <t>4020, 4040, 4094, 4120, 4192-4193, 4520, 4530, 4532, 4539</t>
        </is>
      </c>
      <c r="C297" s="6" t="inlineStr">
        <is>
          <t>Fellespott husdyr (nøkkel: direkte førte husdyrkostnader)</t>
        </is>
      </c>
    </row>
    <row r="298" ht="15" customHeight="1">
      <c r="A298" s="6" t="inlineStr">
        <is>
          <t>Konto</t>
        </is>
      </c>
      <c r="B298" s="46" t="inlineStr">
        <is>
          <t>3457, 3470, 3490, 3499</t>
        </is>
      </c>
      <c r="C298" s="6" t="inlineStr">
        <is>
          <t>Fellespott tilskot (nøkkel: direkte førte tilskot)</t>
        </is>
      </c>
    </row>
    <row r="299" ht="15" customHeight="1">
      <c r="A299" s="6" t="inlineStr">
        <is>
          <t>Konto</t>
        </is>
      </c>
      <c r="B299" s="46" t="inlineStr">
        <is>
          <t>4550-4559</t>
        </is>
      </c>
      <c r="C299" s="6" t="inlineStr">
        <is>
          <t>Faste kostnader</t>
        </is>
      </c>
    </row>
    <row r="300" ht="15" customHeight="1">
      <c r="A300" s="6" t="inlineStr">
        <is>
          <t>Konto</t>
        </is>
      </c>
      <c r="B300" s="46" t="inlineStr">
        <is>
          <t>3440-3442</t>
        </is>
      </c>
      <c r="C300" s="6" t="inlineStr">
        <is>
          <t>Faste kostnader</t>
        </is>
      </c>
    </row>
    <row r="301" ht="15" customHeight="1">
      <c r="A301" s="6" t="inlineStr">
        <is>
          <t>Konto</t>
        </is>
      </c>
      <c r="B301" s="46" t="inlineStr">
        <is>
          <t>3400-3439, 3443-3499</t>
        </is>
      </c>
      <c r="C301" s="6" t="inlineStr">
        <is>
          <t>Fellespott tilskot (nøkkel: direkte førte tilskot)</t>
        </is>
      </c>
    </row>
    <row r="302" ht="15" customHeight="1">
      <c r="A302" s="6" t="inlineStr">
        <is>
          <t>Konto</t>
        </is>
      </c>
      <c r="B302" s="46" t="inlineStr">
        <is>
          <t>6030, 6541, 6563, 6640</t>
        </is>
      </c>
      <c r="C302" s="6" t="inlineStr">
        <is>
          <t>Innandørsmekanisering (nøkkel)</t>
        </is>
      </c>
    </row>
    <row r="303" ht="15" customHeight="1">
      <c r="A303" s="6" t="inlineStr">
        <is>
          <t>Konto</t>
        </is>
      </c>
      <c r="B303" s="46" t="inlineStr">
        <is>
          <t>6480</t>
        </is>
      </c>
      <c r="C303" s="6" t="inlineStr">
        <is>
          <t>Purkering / Faste kostnader</t>
        </is>
      </c>
    </row>
    <row r="304" ht="15" customHeight="1">
      <c r="A304" s="6" t="inlineStr">
        <is>
          <t>Konto</t>
        </is>
      </c>
      <c r="B304" s="46" t="inlineStr">
        <is>
          <t>4570-4580, 5000-7999</t>
        </is>
      </c>
      <c r="C304" s="6" t="inlineStr">
        <is>
          <t>Faste kostnader</t>
        </is>
      </c>
    </row>
    <row r="305" ht="15" customHeight="1">
      <c r="A305" s="6" t="inlineStr">
        <is>
          <t>Konto</t>
        </is>
      </c>
      <c r="B305" s="46" t="inlineStr">
        <is>
          <t>3090-3093, 3100-3399, 3500-3999</t>
        </is>
      </c>
      <c r="C305" s="6" t="inlineStr">
        <is>
          <t>Totaløkonomi (ikkje fordelt)</t>
        </is>
      </c>
    </row>
    <row r="306" ht="15" customHeight="1">
      <c r="A306" s="6" t="inlineStr">
        <is>
          <t>Konto</t>
        </is>
      </c>
      <c r="B306" s="46" t="inlineStr">
        <is>
          <t>8000-8179</t>
        </is>
      </c>
      <c r="C306"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2026-10-22T09:06:16Z</dcterms:created>
  <dcterms:modified xmlns:dcterms="http://purl.org/dc/terms/" xmlns:xsi="http://www.w3.org/2001/XMLSchema-instance" xsi:type="dcterms:W3CDTF">2026-10-22T09:06:16Z</dcterms:modified>
</cp:coreProperties>
</file>